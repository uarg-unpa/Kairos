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4"/>
    <sheet state="visible" name="Registro" sheetId="2" r:id="rId5"/>
    <sheet state="visible" name="Semanas" sheetId="3" r:id="rId6"/>
  </sheets>
  <definedNames/>
  <calcPr/>
  <extLst>
    <ext uri="GoogleSheetsCustomDataVersion2">
      <go:sheetsCustomData xmlns:go="http://customooxmlschemas.google.com/" r:id="rId7" roundtripDataChecksum="eWdMrhJoTS4M4QFoS5GozNlFDlzJzdV0I1r1+OHyOmg="/>
    </ext>
  </extLst>
</workbook>
</file>

<file path=xl/sharedStrings.xml><?xml version="1.0" encoding="utf-8"?>
<sst xmlns="http://schemas.openxmlformats.org/spreadsheetml/2006/main" count="327" uniqueCount="94">
  <si>
    <t>Semana</t>
  </si>
  <si>
    <t>Análisis</t>
  </si>
  <si>
    <t>Diseño</t>
  </si>
  <si>
    <t>Codificación</t>
  </si>
  <si>
    <t>Validación y Verificación</t>
  </si>
  <si>
    <t>Documentación</t>
  </si>
  <si>
    <t>Actividades Externas</t>
  </si>
  <si>
    <t>Total x iteración</t>
  </si>
  <si>
    <t>Etapa</t>
  </si>
  <si>
    <t>Inicio</t>
  </si>
  <si>
    <t>Inicio /Etapa de Elaboración Iteración 1</t>
  </si>
  <si>
    <t>Elaboración Iteración 1</t>
  </si>
  <si>
    <t>Elaboración-Iteración 2</t>
  </si>
  <si>
    <t>Elaboración-Iteración 2 - Construcción iteración 1</t>
  </si>
  <si>
    <t>Construcción-Iteración 1</t>
  </si>
  <si>
    <t>Total</t>
  </si>
  <si>
    <t>Tarea</t>
  </si>
  <si>
    <t>Semana 1</t>
  </si>
  <si>
    <t>Modelo de negocio</t>
  </si>
  <si>
    <t>Creación de repositorio</t>
  </si>
  <si>
    <t>desgrabación entrevista</t>
  </si>
  <si>
    <t>Pasar en limpio notas de la entrevista 1</t>
  </si>
  <si>
    <t>-</t>
  </si>
  <si>
    <t>documento Resumen entrevista</t>
  </si>
  <si>
    <t>Estudio de Factibilidad</t>
  </si>
  <si>
    <t>Estudio Factibilidad</t>
  </si>
  <si>
    <t>Estandares</t>
  </si>
  <si>
    <t>documento de entrevistas y presentación</t>
  </si>
  <si>
    <t>desgrabacion</t>
  </si>
  <si>
    <t>Desgrabacion de entrevista</t>
  </si>
  <si>
    <t xml:space="preserve">Análisis </t>
  </si>
  <si>
    <t>Semana 2</t>
  </si>
  <si>
    <t>Creación de repositorio - Ramas</t>
  </si>
  <si>
    <t>Revisión de documentos</t>
  </si>
  <si>
    <t>Uargflow a Spring</t>
  </si>
  <si>
    <t>Grabar uargflow</t>
  </si>
  <si>
    <t>Pasar correcciones</t>
  </si>
  <si>
    <t>Semana 3</t>
  </si>
  <si>
    <t>Plan SQA</t>
  </si>
  <si>
    <t>Pasado de notas reunion</t>
  </si>
  <si>
    <t>Primer Reunión</t>
  </si>
  <si>
    <t>HASTA ACA ETAPA DE INICIO</t>
  </si>
  <si>
    <t>Semana 4</t>
  </si>
  <si>
    <t>Revisión</t>
  </si>
  <si>
    <t>Realizando el documento</t>
  </si>
  <si>
    <t>Semana 5</t>
  </si>
  <si>
    <t>Estimación fase de elaboración iteración 2</t>
  </si>
  <si>
    <t>Primer prototipo funcional</t>
  </si>
  <si>
    <t>Modelo de casos de uso</t>
  </si>
  <si>
    <t>Estudio y análisis de Toggl Track API</t>
  </si>
  <si>
    <t>Redefinición de Métricas</t>
  </si>
  <si>
    <t>Redefinición de casos de uso</t>
  </si>
  <si>
    <t>Identificación y evaluación de riesgos</t>
  </si>
  <si>
    <t>Semana 6</t>
  </si>
  <si>
    <t>Inicio de modelo de diseño</t>
  </si>
  <si>
    <t xml:space="preserve">Implementación UARGFlow Funcional </t>
  </si>
  <si>
    <t>Plan de pruebas</t>
  </si>
  <si>
    <t>Implementación UARGFlow Funcional (Video)</t>
  </si>
  <si>
    <t xml:space="preserve">Capacitación sobre el uso de lenguajes, tecnologías y herramientas a implementar. </t>
  </si>
  <si>
    <t>Modelo de datoos (BD)</t>
  </si>
  <si>
    <t>Revisión Técnica Formal: Plan de Pruebas</t>
  </si>
  <si>
    <t>Modelo de datos (BD)</t>
  </si>
  <si>
    <t>Realización de excel de registro de tiempos y gráficos</t>
  </si>
  <si>
    <t>Semana 7</t>
  </si>
  <si>
    <t>Estimación</t>
  </si>
  <si>
    <t>Prototipo final</t>
  </si>
  <si>
    <t>Cierre Fase Elaboración - Iteración 2</t>
  </si>
  <si>
    <t>Riesgos</t>
  </si>
  <si>
    <t xml:space="preserve">Modelo Arquitectonico </t>
  </si>
  <si>
    <t>Plan de Iteración Fase Construcción Iteración 1</t>
  </si>
  <si>
    <t>Modelo Arquitectónico</t>
  </si>
  <si>
    <t>Semana 8</t>
  </si>
  <si>
    <t>Aplicando angular al CU 01</t>
  </si>
  <si>
    <t>Diagrama de componentes</t>
  </si>
  <si>
    <t>Creación y modificación de gráficos obligatorios</t>
  </si>
  <si>
    <t>Priorización e Inicio del Diseño – 1° tanda Casos de Uso</t>
  </si>
  <si>
    <t>Modificación de excel para gráfico de registro de tiempos</t>
  </si>
  <si>
    <t>Modelo de Diseño (Clases y Componentes)</t>
  </si>
  <si>
    <t>Mejora dashboard prototipo</t>
  </si>
  <si>
    <t>Semana 9</t>
  </si>
  <si>
    <t>Especificación CU20</t>
  </si>
  <si>
    <t>Revisión de Especificación de Casos de Uso a implementar / Modelo de Datos</t>
  </si>
  <si>
    <t>Riesgos 24/10</t>
  </si>
  <si>
    <t>Especificación CU12</t>
  </si>
  <si>
    <t>Implementación CU09,CU12</t>
  </si>
  <si>
    <t>Revisión de Especificación de CU 09 y 20</t>
  </si>
  <si>
    <t>Reunión 23/10</t>
  </si>
  <si>
    <t>Especificación CU09</t>
  </si>
  <si>
    <t>Implementación CU20</t>
  </si>
  <si>
    <t>Casos de prueba CU's primera tanda</t>
  </si>
  <si>
    <t>Ejecución Casos de prueba CU's primera tanda</t>
  </si>
  <si>
    <t>Revisión casos de prueba</t>
  </si>
  <si>
    <t>Fecha de inicio</t>
  </si>
  <si>
    <t>Fecha de fin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</si>
</sst>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F400]h:mm:ss"/>
    <numFmt numFmtId="165" formatCode="dd/mm/yyyy"/>
    <numFmt numFmtId="166" formatCode="d/m/yyyy"/>
  </numFmts>
  <fonts count="14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b/>
      <color theme="1"/>
      <name val="Arial"/>
    </font>
    <font>
      <b/>
      <sz val="11.0"/>
      <color rgb="FFFF0000"/>
      <name val="Aptos Narrow"/>
    </font>
    <font>
      <color theme="1"/>
      <name val="Arial"/>
    </font>
    <font>
      <sz val="11.0"/>
      <color rgb="FF000000"/>
      <name val="Arial"/>
    </font>
    <font>
      <b/>
      <sz val="11.0"/>
      <color rgb="FFFF0000"/>
      <name val="Arial"/>
    </font>
    <font/>
    <font>
      <color rgb="FF000000"/>
      <name val="Docs-Roboto"/>
    </font>
    <font>
      <b/>
      <color theme="1"/>
      <name val="Aptos Narrow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F6F8F9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1" fillId="3" fontId="1" numFmtId="0" xfId="0" applyBorder="1" applyFill="1" applyFont="1"/>
    <xf borderId="1" fillId="4" fontId="3" numFmtId="164" xfId="0" applyBorder="1" applyFill="1" applyFont="1" applyNumberFormat="1"/>
    <xf borderId="1" fillId="4" fontId="3" numFmtId="46" xfId="0" applyBorder="1" applyFont="1" applyNumberFormat="1"/>
    <xf borderId="1" fillId="4" fontId="4" numFmtId="46" xfId="0" applyAlignment="1" applyBorder="1" applyFont="1" applyNumberFormat="1">
      <alignment readingOrder="0"/>
    </xf>
    <xf borderId="1" fillId="4" fontId="3" numFmtId="21" xfId="0" applyBorder="1" applyFont="1" applyNumberFormat="1"/>
    <xf borderId="1" fillId="4" fontId="4" numFmtId="0" xfId="0" applyAlignment="1" applyBorder="1" applyFont="1">
      <alignment horizontal="center" readingOrder="0"/>
    </xf>
    <xf borderId="1" fillId="4" fontId="4" numFmtId="21" xfId="0" applyAlignment="1" applyBorder="1" applyFont="1" applyNumberFormat="1">
      <alignment readingOrder="0"/>
    </xf>
    <xf borderId="1" fillId="4" fontId="4" numFmtId="0" xfId="0" applyAlignment="1" applyBorder="1" applyFont="1">
      <alignment readingOrder="0"/>
    </xf>
    <xf borderId="1" fillId="4" fontId="4" numFmtId="164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4" fontId="4" numFmtId="21" xfId="0" applyAlignment="1" applyBorder="1" applyFont="1" applyNumberFormat="1">
      <alignment horizontal="right" readingOrder="0"/>
    </xf>
    <xf borderId="1" fillId="5" fontId="2" numFmtId="0" xfId="0" applyAlignment="1" applyBorder="1" applyFill="1" applyFont="1">
      <alignment readingOrder="0"/>
    </xf>
    <xf borderId="1" fillId="5" fontId="3" numFmtId="46" xfId="0" applyBorder="1" applyFont="1" applyNumberFormat="1"/>
    <xf borderId="1" fillId="5" fontId="3" numFmtId="0" xfId="0" applyAlignment="1" applyBorder="1" applyFont="1">
      <alignment horizontal="center"/>
    </xf>
    <xf borderId="0" fillId="0" fontId="3" numFmtId="46" xfId="0" applyFont="1" applyNumberFormat="1"/>
    <xf borderId="1" fillId="0" fontId="5" numFmtId="0" xfId="0" applyBorder="1" applyFont="1"/>
    <xf borderId="1" fillId="6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1" fillId="6" fontId="2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/>
    </xf>
    <xf borderId="1" fillId="8" fontId="6" numFmtId="0" xfId="0" applyAlignment="1" applyBorder="1" applyFill="1" applyFont="1">
      <alignment readingOrder="0"/>
    </xf>
    <xf borderId="1" fillId="6" fontId="7" numFmtId="0" xfId="0" applyBorder="1" applyFont="1"/>
    <xf borderId="1" fillId="8" fontId="2" numFmtId="0" xfId="0" applyAlignment="1" applyBorder="1" applyFont="1">
      <alignment readingOrder="0"/>
    </xf>
    <xf borderId="1" fillId="6" fontId="3" numFmtId="0" xfId="0" applyBorder="1" applyFont="1"/>
    <xf borderId="1" fillId="4" fontId="8" numFmtId="0" xfId="0" applyAlignment="1" applyBorder="1" applyFont="1">
      <alignment readingOrder="0"/>
    </xf>
    <xf borderId="1" fillId="4" fontId="3" numFmtId="0" xfId="0" applyBorder="1" applyFont="1"/>
    <xf borderId="0" fillId="4" fontId="5" numFmtId="0" xfId="0" applyFont="1"/>
    <xf borderId="1" fillId="4" fontId="4" numFmtId="0" xfId="0" applyAlignment="1" applyBorder="1" applyFont="1">
      <alignment horizontal="left" readingOrder="0"/>
    </xf>
    <xf borderId="1" fillId="4" fontId="5" numFmtId="0" xfId="0" applyAlignment="1" applyBorder="1" applyFont="1">
      <alignment readingOrder="0"/>
    </xf>
    <xf borderId="0" fillId="4" fontId="3" numFmtId="0" xfId="0" applyFont="1"/>
    <xf borderId="1" fillId="3" fontId="6" numFmtId="0" xfId="0" applyAlignment="1" applyBorder="1" applyFont="1">
      <alignment readingOrder="0"/>
    </xf>
    <xf borderId="1" fillId="3" fontId="1" numFmtId="21" xfId="0" applyAlignment="1" applyBorder="1" applyFont="1" applyNumberFormat="1">
      <alignment horizontal="right"/>
    </xf>
    <xf borderId="1" fillId="3" fontId="1" numFmtId="21" xfId="0" applyBorder="1" applyFont="1" applyNumberFormat="1"/>
    <xf borderId="1" fillId="6" fontId="7" numFmtId="21" xfId="0" applyAlignment="1" applyBorder="1" applyFont="1" applyNumberFormat="1">
      <alignment horizontal="left"/>
    </xf>
    <xf borderId="1" fillId="4" fontId="9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readingOrder="0"/>
    </xf>
    <xf borderId="1" fillId="3" fontId="1" numFmtId="46" xfId="0" applyBorder="1" applyFont="1" applyNumberFormat="1"/>
    <xf borderId="1" fillId="6" fontId="10" numFmtId="0" xfId="0" applyAlignment="1" applyBorder="1" applyFont="1">
      <alignment horizontal="left" readingOrder="0"/>
    </xf>
    <xf borderId="2" fillId="4" fontId="6" numFmtId="0" xfId="0" applyAlignment="1" applyBorder="1" applyFont="1">
      <alignment horizontal="center" readingOrder="0"/>
    </xf>
    <xf borderId="3" fillId="0" fontId="11" numFmtId="0" xfId="0" applyBorder="1" applyFont="1"/>
    <xf borderId="4" fillId="0" fontId="11" numFmtId="0" xfId="0" applyBorder="1" applyFont="1"/>
    <xf borderId="1" fillId="3" fontId="3" numFmtId="0" xfId="0" applyAlignment="1" applyBorder="1" applyFont="1">
      <alignment horizontal="right"/>
    </xf>
    <xf borderId="1" fillId="3" fontId="3" numFmtId="0" xfId="0" applyBorder="1" applyFont="1"/>
    <xf borderId="1" fillId="4" fontId="4" numFmtId="0" xfId="0" applyAlignment="1" applyBorder="1" applyFont="1">
      <alignment horizontal="right" readingOrder="0"/>
    </xf>
    <xf borderId="1" fillId="4" fontId="3" numFmtId="21" xfId="0" applyAlignment="1" applyBorder="1" applyFont="1" applyNumberFormat="1">
      <alignment horizontal="right"/>
    </xf>
    <xf borderId="1" fillId="4" fontId="3" numFmtId="0" xfId="0" applyAlignment="1" applyBorder="1" applyFont="1">
      <alignment horizontal="right"/>
    </xf>
    <xf borderId="1" fillId="4" fontId="4" numFmtId="46" xfId="0" applyAlignment="1" applyBorder="1" applyFont="1" applyNumberFormat="1">
      <alignment horizontal="right" readingOrder="0"/>
    </xf>
    <xf borderId="1" fillId="4" fontId="5" numFmtId="46" xfId="0" applyAlignment="1" applyBorder="1" applyFont="1" applyNumberFormat="1">
      <alignment readingOrder="0"/>
    </xf>
    <xf borderId="1" fillId="4" fontId="3" numFmtId="21" xfId="0" applyAlignment="1" applyBorder="1" applyFont="1" applyNumberFormat="1">
      <alignment horizontal="right" readingOrder="0"/>
    </xf>
    <xf borderId="1" fillId="4" fontId="8" numFmtId="46" xfId="0" applyAlignment="1" applyBorder="1" applyFont="1" applyNumberFormat="1">
      <alignment readingOrder="0"/>
    </xf>
    <xf borderId="1" fillId="4" fontId="5" numFmtId="0" xfId="0" applyBorder="1" applyFont="1"/>
    <xf borderId="1" fillId="4" fontId="3" numFmtId="46" xfId="0" applyAlignment="1" applyBorder="1" applyFont="1" applyNumberFormat="1">
      <alignment horizontal="right"/>
    </xf>
    <xf borderId="1" fillId="3" fontId="1" numFmtId="46" xfId="0" applyAlignment="1" applyBorder="1" applyFont="1" applyNumberFormat="1">
      <alignment horizontal="right"/>
    </xf>
    <xf borderId="1" fillId="3" fontId="1" numFmtId="0" xfId="0" applyAlignment="1" applyBorder="1" applyFont="1">
      <alignment horizontal="right"/>
    </xf>
    <xf borderId="1" fillId="0" fontId="9" numFmtId="21" xfId="0" applyAlignment="1" applyBorder="1" applyFont="1" applyNumberFormat="1">
      <alignment readingOrder="0" shrinkToFit="0" wrapText="1"/>
    </xf>
    <xf borderId="1" fillId="4" fontId="6" numFmtId="0" xfId="0" applyAlignment="1" applyBorder="1" applyFont="1">
      <alignment readingOrder="0"/>
    </xf>
    <xf borderId="1" fillId="4" fontId="10" numFmtId="0" xfId="0" applyAlignment="1" applyBorder="1" applyFont="1">
      <alignment horizontal="left" readingOrder="0"/>
    </xf>
    <xf borderId="1" fillId="4" fontId="2" numFmtId="0" xfId="0" applyAlignment="1" applyBorder="1" applyFont="1">
      <alignment readingOrder="0"/>
    </xf>
    <xf borderId="1" fillId="4" fontId="1" numFmtId="0" xfId="0" applyAlignment="1" applyBorder="1" applyFont="1">
      <alignment horizontal="right"/>
    </xf>
    <xf borderId="1" fillId="4" fontId="3" numFmtId="21" xfId="0" applyAlignment="1" applyBorder="1" applyFont="1" applyNumberFormat="1">
      <alignment readingOrder="0"/>
    </xf>
    <xf borderId="1" fillId="4" fontId="8" numFmtId="21" xfId="0" applyAlignment="1" applyBorder="1" applyFont="1" applyNumberFormat="1">
      <alignment readingOrder="0"/>
    </xf>
    <xf borderId="5" fillId="4" fontId="9" numFmtId="0" xfId="0" applyAlignment="1" applyBorder="1" applyFont="1">
      <alignment horizontal="left" readingOrder="0" shrinkToFit="0" wrapText="1"/>
    </xf>
    <xf borderId="1" fillId="4" fontId="12" numFmtId="21" xfId="0" applyAlignment="1" applyBorder="1" applyFont="1" applyNumberFormat="1">
      <alignment horizontal="right" readingOrder="0" shrinkToFit="0" wrapText="0"/>
    </xf>
    <xf borderId="1" fillId="4" fontId="5" numFmtId="21" xfId="0" applyAlignment="1" applyBorder="1" applyFont="1" applyNumberFormat="1">
      <alignment readingOrder="0"/>
    </xf>
    <xf borderId="1" fillId="3" fontId="5" numFmtId="0" xfId="0" applyBorder="1" applyFont="1"/>
    <xf borderId="1" fillId="3" fontId="5" numFmtId="21" xfId="0" applyBorder="1" applyFont="1" applyNumberFormat="1"/>
    <xf borderId="1" fillId="3" fontId="5" numFmtId="46" xfId="0" applyBorder="1" applyFont="1" applyNumberFormat="1"/>
    <xf borderId="1" fillId="6" fontId="13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1" fillId="0" fontId="5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Tot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1" displayName="Table_1" name="Table_1" id="1">
  <tableColumns count="9">
    <tableColumn name="Semana" id="1"/>
    <tableColumn name="Análisis" id="2"/>
    <tableColumn name="Diseño" id="3"/>
    <tableColumn name="Codificación" id="4"/>
    <tableColumn name="Validación y Verificación" id="5"/>
    <tableColumn name="Documentación" id="6"/>
    <tableColumn name="Actividades Externas" id="7"/>
    <tableColumn name="Total x iteración" id="8"/>
    <tableColumn name="Etapa" id="9"/>
  </tableColumns>
  <tableStyleInfo name="Tot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15.63"/>
    <col customWidth="1" min="3" max="3" width="17.88"/>
    <col customWidth="1" min="4" max="4" width="17.25"/>
    <col customWidth="1" min="5" max="5" width="24.5"/>
    <col customWidth="1" min="6" max="6" width="20.5"/>
    <col customWidth="1" min="7" max="7" width="23.13"/>
    <col customWidth="1" min="8" max="8" width="14.38"/>
    <col customWidth="1" min="9" max="9" width="41.75"/>
    <col customWidth="1" min="10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14.25" customHeight="1">
      <c r="A2" s="3">
        <v>1.0</v>
      </c>
      <c r="B2" s="4">
        <f>Registro!B15</f>
        <v>0.4929050926</v>
      </c>
      <c r="C2" s="5" t="str">
        <f>Registro!D14</f>
        <v/>
      </c>
      <c r="D2" s="5">
        <f>Registro!F3</f>
        <v>0.03487268519</v>
      </c>
      <c r="E2" s="6" t="str">
        <f>Registro!H15</f>
        <v/>
      </c>
      <c r="F2" s="7">
        <f>Registro!J15</f>
        <v>0.4366898148</v>
      </c>
      <c r="G2" s="5">
        <f>Registro!L15</f>
        <v>0</v>
      </c>
      <c r="H2" s="5">
        <f>SUM(Total!$B2:$G2)</f>
        <v>0.9644675926</v>
      </c>
      <c r="I2" s="8" t="s">
        <v>9</v>
      </c>
    </row>
    <row r="3" ht="14.25" customHeight="1">
      <c r="A3" s="3">
        <v>2.0</v>
      </c>
      <c r="B3" s="4">
        <f>Registro!B38</f>
        <v>0.4042824074</v>
      </c>
      <c r="C3" s="5">
        <v>0.0</v>
      </c>
      <c r="D3" s="5">
        <f>Registro!F38</f>
        <v>0.689375</v>
      </c>
      <c r="E3" s="9">
        <f>Registro!H38</f>
        <v>0.02414351852</v>
      </c>
      <c r="F3" s="7">
        <f>Registro!J38</f>
        <v>0.02648148148</v>
      </c>
      <c r="G3" s="5">
        <f>Registro!L38</f>
        <v>0.03163194444</v>
      </c>
      <c r="H3" s="5">
        <f>SUM(Total!$B3:$G3)</f>
        <v>1.175914352</v>
      </c>
      <c r="I3" s="8" t="s">
        <v>9</v>
      </c>
    </row>
    <row r="4" ht="14.25" customHeight="1">
      <c r="A4" s="3">
        <v>3.0</v>
      </c>
      <c r="B4" s="4">
        <f>Registro!B59</f>
        <v>0.4879513889</v>
      </c>
      <c r="C4" s="5" t="str">
        <f>Registro!D59</f>
        <v/>
      </c>
      <c r="D4" s="5">
        <f>Registro!F59</f>
        <v>0.2333333333</v>
      </c>
      <c r="E4" s="5">
        <f>Registro!H59</f>
        <v>0</v>
      </c>
      <c r="F4" s="7">
        <f>Registro!J59</f>
        <v>0.218587963</v>
      </c>
      <c r="G4" s="9">
        <f>Registro!L59</f>
        <v>0.161875</v>
      </c>
      <c r="H4" s="5">
        <f>SUM(Total!$B4:$G4)</f>
        <v>1.101747685</v>
      </c>
      <c r="I4" s="8" t="s">
        <v>10</v>
      </c>
    </row>
    <row r="5" ht="14.25" customHeight="1">
      <c r="A5" s="3">
        <v>4.0</v>
      </c>
      <c r="B5" s="4">
        <f>Registro!B75</f>
        <v>0.6286805556</v>
      </c>
      <c r="C5" s="5">
        <f>Registro!D75</f>
        <v>0.0244212963</v>
      </c>
      <c r="D5" s="5">
        <f>Registro!F75</f>
        <v>0.09237268519</v>
      </c>
      <c r="E5" s="5">
        <f>Registro!H75</f>
        <v>0.1780092593</v>
      </c>
      <c r="F5" s="7">
        <f>Registro!J75</f>
        <v>0.2304861111</v>
      </c>
      <c r="G5" s="10"/>
      <c r="H5" s="5">
        <f>SUM(Total!$B5:$G5)</f>
        <v>1.153969907</v>
      </c>
      <c r="I5" s="8" t="s">
        <v>11</v>
      </c>
    </row>
    <row r="6" ht="14.25" customHeight="1">
      <c r="A6" s="3">
        <v>5.0</v>
      </c>
      <c r="B6" s="4">
        <f>Registro!B86</f>
        <v>0.3979166667</v>
      </c>
      <c r="C6" s="6">
        <v>1.5628356481481482</v>
      </c>
      <c r="D6" s="5"/>
      <c r="E6" s="5">
        <v>0.013888888888888888</v>
      </c>
      <c r="F6" s="7">
        <f>Registro!J86</f>
        <v>0.2180555556</v>
      </c>
      <c r="G6" s="5">
        <f>Registro!L86</f>
        <v>0.03333333333</v>
      </c>
      <c r="H6" s="5">
        <f>SUM(Total!$B6:$G6)</f>
        <v>2.226030093</v>
      </c>
      <c r="I6" s="8" t="s">
        <v>12</v>
      </c>
    </row>
    <row r="7" ht="14.25" customHeight="1">
      <c r="A7" s="3">
        <v>6.0</v>
      </c>
      <c r="B7" s="11">
        <f>Registro!B93</f>
        <v>0.08333333333</v>
      </c>
      <c r="C7" s="5">
        <f>Registro!D93</f>
        <v>0.6710532407</v>
      </c>
      <c r="D7" s="5">
        <f>Registro!F93</f>
        <v>0.8770833333</v>
      </c>
      <c r="E7" s="5">
        <f>Registro!H93</f>
        <v>0.3071064815</v>
      </c>
      <c r="F7" s="7">
        <f>Registro!J93</f>
        <v>0.003472222222</v>
      </c>
      <c r="G7" s="5">
        <f>Registro!L93</f>
        <v>0.4239467593</v>
      </c>
      <c r="H7" s="5">
        <f>SUM(Total!$B7:$G7)</f>
        <v>2.36599537</v>
      </c>
      <c r="I7" s="8" t="s">
        <v>12</v>
      </c>
    </row>
    <row r="8" ht="14.25" customHeight="1">
      <c r="A8" s="12">
        <v>7.0</v>
      </c>
      <c r="B8" s="6">
        <f>Registro!B102</f>
        <v>0.06805555556</v>
      </c>
      <c r="C8" s="6">
        <f>Registro!D102</f>
        <v>0.8178472222</v>
      </c>
      <c r="D8" s="5"/>
      <c r="E8" s="5"/>
      <c r="F8" s="6">
        <f>Registro!J102</f>
        <v>0.4086689815</v>
      </c>
      <c r="G8" s="5"/>
      <c r="H8" s="5">
        <f t="shared" ref="H8:H10" si="1">SUM(B8:G8)</f>
        <v>1.294571759</v>
      </c>
      <c r="I8" s="8" t="s">
        <v>13</v>
      </c>
    </row>
    <row r="9" ht="14.25" customHeight="1">
      <c r="A9" s="12">
        <v>8.0</v>
      </c>
      <c r="B9" s="9">
        <f>Registro!B113</f>
        <v>0.2798611111</v>
      </c>
      <c r="C9" s="13">
        <f>Registro!D113</f>
        <v>0.7815856481</v>
      </c>
      <c r="D9" s="5">
        <f>Registro!F113</f>
        <v>0.2756944444</v>
      </c>
      <c r="E9" s="5"/>
      <c r="F9" s="9">
        <f>Registro!J113</f>
        <v>0.5817361111</v>
      </c>
      <c r="G9" s="6">
        <f>Registro!L113</f>
        <v>0.3125</v>
      </c>
      <c r="H9" s="5">
        <f t="shared" si="1"/>
        <v>2.231377315</v>
      </c>
      <c r="I9" s="8" t="s">
        <v>14</v>
      </c>
    </row>
    <row r="10" ht="14.25" customHeight="1">
      <c r="A10" s="12">
        <v>9.0</v>
      </c>
      <c r="B10" s="5">
        <f>Registro!B137</f>
        <v>0.3587962963</v>
      </c>
      <c r="C10" s="5">
        <f>Registro!D137</f>
        <v>0.2292361111</v>
      </c>
      <c r="D10" s="5">
        <f>Registro!F137</f>
        <v>1.383240741</v>
      </c>
      <c r="E10" s="5">
        <f>Registro!H137</f>
        <v>0.4480324074</v>
      </c>
      <c r="F10" s="5">
        <f>Registro!J137</f>
        <v>0.4821180556</v>
      </c>
      <c r="G10" s="5">
        <f>Registro!L137</f>
        <v>0.3020833333</v>
      </c>
      <c r="H10" s="5">
        <f t="shared" si="1"/>
        <v>3.203506944</v>
      </c>
      <c r="I10" s="8" t="s">
        <v>14</v>
      </c>
    </row>
    <row r="11" ht="14.25" customHeight="1">
      <c r="A11" s="14" t="s">
        <v>15</v>
      </c>
      <c r="B11" s="15">
        <f t="shared" ref="B11:G11" si="2">SUM(B2:B10)</f>
        <v>3.201782407</v>
      </c>
      <c r="C11" s="15">
        <f t="shared" si="2"/>
        <v>4.086979167</v>
      </c>
      <c r="D11" s="15">
        <f t="shared" si="2"/>
        <v>3.585972222</v>
      </c>
      <c r="E11" s="15">
        <f t="shared" si="2"/>
        <v>0.9711805556</v>
      </c>
      <c r="F11" s="15">
        <f t="shared" si="2"/>
        <v>2.606296296</v>
      </c>
      <c r="G11" s="15">
        <f t="shared" si="2"/>
        <v>1.26537037</v>
      </c>
      <c r="H11" s="15">
        <f>SUM(Total!$B11:$G11)</f>
        <v>15.71758102</v>
      </c>
      <c r="I11" s="16"/>
    </row>
    <row r="12" ht="14.25" customHeight="1"/>
    <row r="13" ht="14.25" customHeight="1"/>
    <row r="14" ht="14.25" customHeight="1">
      <c r="H14" s="17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13"/>
    <col customWidth="1" min="2" max="2" width="24.88"/>
    <col customWidth="1" min="3" max="3" width="39.38"/>
    <col customWidth="1" min="4" max="4" width="39.5"/>
    <col customWidth="1" min="5" max="5" width="27.63"/>
    <col customWidth="1" min="6" max="6" width="17.75"/>
    <col customWidth="1" min="7" max="7" width="40.25"/>
    <col customWidth="1" min="8" max="8" width="27.63"/>
    <col customWidth="1" min="9" max="9" width="54.63"/>
    <col customWidth="1" min="10" max="10" width="27.63"/>
    <col customWidth="1" min="11" max="11" width="71.63"/>
    <col customWidth="1" min="12" max="12" width="20.0"/>
    <col customWidth="1" min="13" max="31" width="10.63"/>
  </cols>
  <sheetData>
    <row r="1" ht="14.25" customHeight="1">
      <c r="A1" s="18"/>
      <c r="B1" s="19" t="s">
        <v>1</v>
      </c>
      <c r="C1" s="20"/>
      <c r="D1" s="21" t="s">
        <v>2</v>
      </c>
      <c r="E1" s="20"/>
      <c r="F1" s="19" t="s">
        <v>3</v>
      </c>
      <c r="G1" s="20"/>
      <c r="H1" s="21" t="s">
        <v>4</v>
      </c>
      <c r="I1" s="22"/>
      <c r="J1" s="21" t="s">
        <v>5</v>
      </c>
      <c r="K1" s="23"/>
      <c r="L1" s="21" t="s">
        <v>6</v>
      </c>
    </row>
    <row r="2" ht="14.25" customHeight="1">
      <c r="A2" s="24" t="s">
        <v>16</v>
      </c>
      <c r="B2" s="25" t="s">
        <v>17</v>
      </c>
      <c r="C2" s="26" t="s">
        <v>16</v>
      </c>
      <c r="D2" s="27"/>
      <c r="E2" s="26" t="s">
        <v>16</v>
      </c>
      <c r="F2" s="27"/>
      <c r="G2" s="26" t="s">
        <v>16</v>
      </c>
      <c r="H2" s="27"/>
      <c r="I2" s="26" t="s">
        <v>16</v>
      </c>
      <c r="J2" s="27"/>
      <c r="K2" s="26" t="s">
        <v>16</v>
      </c>
      <c r="L2" s="27"/>
    </row>
    <row r="3" ht="14.25" customHeight="1">
      <c r="A3" s="28" t="s">
        <v>18</v>
      </c>
      <c r="B3" s="6">
        <v>0.05783564814814815</v>
      </c>
      <c r="C3" s="29"/>
      <c r="D3" s="29"/>
      <c r="E3" s="10" t="s">
        <v>19</v>
      </c>
      <c r="F3" s="9">
        <v>0.03487268518518519</v>
      </c>
      <c r="G3" s="29"/>
      <c r="H3" s="29"/>
      <c r="I3" s="10" t="s">
        <v>20</v>
      </c>
      <c r="J3" s="7">
        <v>0.07708333333333334</v>
      </c>
      <c r="K3" s="30"/>
      <c r="L3" s="9"/>
    </row>
    <row r="4" ht="14.25" customHeight="1">
      <c r="A4" s="28" t="s">
        <v>18</v>
      </c>
      <c r="B4" s="5">
        <v>1.1574074074074075E-4</v>
      </c>
      <c r="C4" s="29"/>
      <c r="D4" s="29"/>
      <c r="E4" s="29"/>
      <c r="F4" s="29"/>
      <c r="G4" s="29"/>
      <c r="H4" s="29"/>
      <c r="I4" s="10" t="s">
        <v>21</v>
      </c>
      <c r="J4" s="7">
        <v>0.06111111111111111</v>
      </c>
      <c r="K4" s="30"/>
      <c r="L4" s="9"/>
    </row>
    <row r="5" ht="14.25" customHeight="1">
      <c r="A5" s="28" t="s">
        <v>22</v>
      </c>
      <c r="B5" s="5">
        <v>0.04273148148148148</v>
      </c>
      <c r="C5" s="29"/>
      <c r="D5" s="29"/>
      <c r="E5" s="29"/>
      <c r="F5" s="29"/>
      <c r="G5" s="29"/>
      <c r="H5" s="29"/>
      <c r="I5" s="10" t="s">
        <v>23</v>
      </c>
      <c r="J5" s="7">
        <v>0.019791666666666666</v>
      </c>
      <c r="K5" s="29"/>
      <c r="L5" s="29"/>
    </row>
    <row r="6" ht="14.25" customHeight="1">
      <c r="A6" s="28" t="s">
        <v>22</v>
      </c>
      <c r="B6" s="5">
        <v>0.002939814814814815</v>
      </c>
      <c r="C6" s="29"/>
      <c r="D6" s="29"/>
      <c r="E6" s="29"/>
      <c r="F6" s="29"/>
      <c r="G6" s="29"/>
      <c r="H6" s="29"/>
      <c r="I6" s="10" t="s">
        <v>23</v>
      </c>
      <c r="J6" s="7">
        <v>0.039780092592592596</v>
      </c>
      <c r="K6" s="29"/>
      <c r="L6" s="29"/>
    </row>
    <row r="7" ht="14.25" customHeight="1">
      <c r="A7" s="28" t="s">
        <v>24</v>
      </c>
      <c r="B7" s="5">
        <v>0.06607638888888889</v>
      </c>
      <c r="C7" s="29"/>
      <c r="D7" s="29"/>
      <c r="E7" s="29"/>
      <c r="F7" s="29"/>
      <c r="G7" s="29"/>
      <c r="H7" s="29"/>
      <c r="I7" s="10" t="s">
        <v>25</v>
      </c>
      <c r="J7" s="9">
        <v>0.0798611111111111</v>
      </c>
      <c r="K7" s="29"/>
      <c r="L7" s="29"/>
    </row>
    <row r="8" ht="14.25" customHeight="1">
      <c r="A8" s="28" t="s">
        <v>26</v>
      </c>
      <c r="B8" s="5">
        <v>0.06518518518518518</v>
      </c>
      <c r="C8" s="29"/>
      <c r="D8" s="29"/>
      <c r="E8" s="29"/>
      <c r="F8" s="29"/>
      <c r="G8" s="29"/>
      <c r="H8" s="29"/>
      <c r="I8" s="31" t="s">
        <v>27</v>
      </c>
      <c r="J8" s="13">
        <v>0.03515046296296296</v>
      </c>
      <c r="K8" s="29"/>
      <c r="L8" s="29"/>
    </row>
    <row r="9" ht="14.25" customHeight="1">
      <c r="A9" s="28" t="s">
        <v>25</v>
      </c>
      <c r="B9" s="5">
        <v>0.0798611111111111</v>
      </c>
      <c r="C9" s="29"/>
      <c r="D9" s="29"/>
      <c r="E9" s="29"/>
      <c r="F9" s="29"/>
      <c r="G9" s="29"/>
      <c r="H9" s="29"/>
      <c r="I9" s="10" t="s">
        <v>24</v>
      </c>
      <c r="J9" s="7">
        <v>0.06607638888888889</v>
      </c>
      <c r="K9" s="29"/>
      <c r="L9" s="29"/>
    </row>
    <row r="10" ht="14.25" customHeight="1">
      <c r="A10" s="28" t="s">
        <v>23</v>
      </c>
      <c r="B10" s="5">
        <v>0.019791666666666666</v>
      </c>
      <c r="C10" s="29"/>
      <c r="D10" s="29"/>
      <c r="E10" s="29"/>
      <c r="F10" s="29"/>
      <c r="G10" s="29"/>
      <c r="H10" s="29"/>
      <c r="I10" s="10" t="s">
        <v>18</v>
      </c>
      <c r="J10" s="9">
        <v>0.05783564814814815</v>
      </c>
      <c r="K10" s="29"/>
      <c r="L10" s="29"/>
    </row>
    <row r="11" ht="14.25" customHeight="1">
      <c r="A11" s="32" t="s">
        <v>23</v>
      </c>
      <c r="B11" s="5">
        <v>0.039780092592592596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ht="14.25" customHeight="1">
      <c r="A12" s="28" t="s">
        <v>28</v>
      </c>
      <c r="B12" s="5">
        <v>0.028356481481481483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ht="14.25" customHeight="1">
      <c r="A13" s="28" t="s">
        <v>29</v>
      </c>
      <c r="B13" s="5">
        <v>0.013148148148148148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</row>
    <row r="14" ht="14.25" customHeight="1">
      <c r="A14" s="10" t="s">
        <v>20</v>
      </c>
      <c r="B14" s="7">
        <v>0.07708333333333334</v>
      </c>
      <c r="C14" s="33"/>
      <c r="D14" s="29"/>
      <c r="E14" s="29"/>
      <c r="F14" s="29"/>
      <c r="G14" s="29"/>
      <c r="H14" s="29"/>
      <c r="I14" s="29"/>
      <c r="J14" s="29"/>
      <c r="K14" s="29"/>
      <c r="L14" s="29"/>
    </row>
    <row r="15" ht="14.25" customHeight="1">
      <c r="A15" s="34" t="s">
        <v>15</v>
      </c>
      <c r="B15" s="35">
        <f>SUM(B3:B14)</f>
        <v>0.4929050926</v>
      </c>
      <c r="C15" s="3"/>
      <c r="D15" s="3"/>
      <c r="E15" s="3"/>
      <c r="F15" s="36">
        <f>SUM(F3:F14)</f>
        <v>0.03487268519</v>
      </c>
      <c r="G15" s="3"/>
      <c r="H15" s="3"/>
      <c r="I15" s="3"/>
      <c r="J15" s="36">
        <f>SUM(J3:J14)</f>
        <v>0.4366898148</v>
      </c>
      <c r="K15" s="3"/>
      <c r="L15" s="36">
        <f>SUM(L3:L14)</f>
        <v>0</v>
      </c>
    </row>
    <row r="16" ht="14.25" customHeight="1">
      <c r="A16" s="24"/>
      <c r="B16" s="21" t="s">
        <v>30</v>
      </c>
      <c r="C16" s="26"/>
      <c r="D16" s="21" t="s">
        <v>2</v>
      </c>
      <c r="E16" s="26"/>
      <c r="F16" s="21" t="s">
        <v>3</v>
      </c>
      <c r="G16" s="26"/>
      <c r="H16" s="21" t="s">
        <v>4</v>
      </c>
      <c r="I16" s="26"/>
      <c r="J16" s="21" t="s">
        <v>5</v>
      </c>
      <c r="K16" s="26"/>
      <c r="L16" s="21" t="s">
        <v>6</v>
      </c>
    </row>
    <row r="17" ht="14.25" customHeight="1">
      <c r="A17" s="24" t="s">
        <v>16</v>
      </c>
      <c r="B17" s="37" t="s">
        <v>31</v>
      </c>
      <c r="C17" s="26" t="s">
        <v>16</v>
      </c>
      <c r="D17" s="27"/>
      <c r="E17" s="26" t="s">
        <v>16</v>
      </c>
      <c r="F17" s="27"/>
      <c r="G17" s="26" t="s">
        <v>16</v>
      </c>
      <c r="H17" s="27"/>
      <c r="I17" s="26" t="s">
        <v>16</v>
      </c>
      <c r="J17" s="27"/>
      <c r="K17" s="26" t="s">
        <v>16</v>
      </c>
      <c r="L17" s="27"/>
    </row>
    <row r="18" ht="14.25" customHeight="1">
      <c r="A18" s="28" t="s">
        <v>18</v>
      </c>
      <c r="B18" s="7">
        <v>0.03831018518518518</v>
      </c>
      <c r="C18" s="29"/>
      <c r="D18" s="29"/>
      <c r="E18" s="10" t="s">
        <v>32</v>
      </c>
      <c r="F18" s="7">
        <v>0.08034722222222222</v>
      </c>
      <c r="G18" s="10" t="s">
        <v>33</v>
      </c>
      <c r="H18" s="7">
        <v>0.003981481481481482</v>
      </c>
      <c r="I18" s="29"/>
      <c r="J18" s="29"/>
      <c r="K18" s="29"/>
      <c r="L18" s="29"/>
    </row>
    <row r="19" ht="14.25" customHeight="1">
      <c r="A19" s="28" t="s">
        <v>22</v>
      </c>
      <c r="B19" s="7">
        <v>0.02244212962962963</v>
      </c>
      <c r="C19" s="29"/>
      <c r="D19" s="29"/>
      <c r="E19" s="10" t="s">
        <v>34</v>
      </c>
      <c r="F19" s="9">
        <v>0.6090277777777777</v>
      </c>
      <c r="G19" s="10" t="s">
        <v>33</v>
      </c>
      <c r="H19" s="7">
        <v>0.003414351851851852</v>
      </c>
      <c r="I19" s="7"/>
      <c r="J19" s="9">
        <v>0.017175925925925924</v>
      </c>
      <c r="K19" s="38" t="s">
        <v>35</v>
      </c>
      <c r="L19" s="7">
        <v>0.03150462962962963</v>
      </c>
    </row>
    <row r="20" ht="14.25" customHeight="1">
      <c r="A20" s="28" t="s">
        <v>22</v>
      </c>
      <c r="B20" s="7">
        <v>0.016608796296296295</v>
      </c>
      <c r="C20" s="29"/>
      <c r="D20" s="29"/>
      <c r="E20" s="29"/>
      <c r="F20" s="29"/>
      <c r="G20" s="10" t="s">
        <v>33</v>
      </c>
      <c r="H20" s="7">
        <v>0.016747685185185185</v>
      </c>
      <c r="I20" s="39" t="s">
        <v>36</v>
      </c>
      <c r="J20" s="7">
        <v>0.009305555555555555</v>
      </c>
      <c r="K20" s="38" t="s">
        <v>35</v>
      </c>
      <c r="L20" s="7">
        <v>1.273148148148148E-4</v>
      </c>
    </row>
    <row r="21" ht="14.25" customHeight="1">
      <c r="A21" s="28" t="s">
        <v>22</v>
      </c>
      <c r="B21" s="7">
        <v>0.018761574074074073</v>
      </c>
      <c r="C21" s="29"/>
      <c r="D21" s="29"/>
      <c r="E21" s="29"/>
      <c r="F21" s="29"/>
      <c r="G21" s="29"/>
      <c r="H21" s="29"/>
      <c r="I21" s="29"/>
      <c r="J21" s="29"/>
      <c r="K21" s="7"/>
      <c r="L21" s="7"/>
    </row>
    <row r="22" ht="14.25" customHeight="1">
      <c r="A22" s="28" t="s">
        <v>22</v>
      </c>
      <c r="B22" s="7">
        <v>0.07424768518518518</v>
      </c>
      <c r="C22" s="29"/>
      <c r="D22" s="29"/>
      <c r="E22" s="29"/>
      <c r="F22" s="29"/>
      <c r="G22" s="29"/>
      <c r="H22" s="29"/>
      <c r="I22" s="29"/>
      <c r="J22" s="29"/>
      <c r="K22" s="7"/>
      <c r="L22" s="7"/>
    </row>
    <row r="23" ht="14.25" customHeight="1">
      <c r="A23" s="28" t="s">
        <v>22</v>
      </c>
      <c r="B23" s="7">
        <v>0.047789351851851854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ht="14.25" customHeight="1">
      <c r="A24" s="28" t="s">
        <v>22</v>
      </c>
      <c r="B24" s="7">
        <v>0.0350462962962963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ht="14.25" customHeight="1">
      <c r="A25" s="28" t="s">
        <v>22</v>
      </c>
      <c r="B25" s="7">
        <v>0.008020833333333333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ht="14.25" customHeight="1">
      <c r="A26" s="28" t="s">
        <v>22</v>
      </c>
      <c r="B26" s="7">
        <v>0.010416666666666666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ht="14.25" customHeight="1">
      <c r="A27" s="28" t="s">
        <v>22</v>
      </c>
      <c r="B27" s="7">
        <v>0.013125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ht="14.25" customHeight="1">
      <c r="A28" s="28" t="s">
        <v>22</v>
      </c>
      <c r="B28" s="7">
        <v>0.019143518518518518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ht="14.25" customHeight="1">
      <c r="A29" s="28" t="s">
        <v>22</v>
      </c>
      <c r="B29" s="7">
        <v>0.009305555555555555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ht="14.25" customHeight="1">
      <c r="A30" s="28" t="s">
        <v>22</v>
      </c>
      <c r="B30" s="7">
        <v>0.04144675925925926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ht="14.25" customHeight="1">
      <c r="A31" s="28" t="s">
        <v>22</v>
      </c>
      <c r="B31" s="7">
        <v>0.0016782407407407408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ht="14.25" customHeight="1">
      <c r="A32" s="28" t="s">
        <v>22</v>
      </c>
      <c r="B32" s="7">
        <v>1.1574074074074073E-5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ht="14.25" customHeight="1">
      <c r="A33" s="28" t="s">
        <v>22</v>
      </c>
      <c r="B33" s="7">
        <v>6.944444444444444E-5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ht="14.25" customHeight="1">
      <c r="A34" s="28" t="s">
        <v>22</v>
      </c>
      <c r="B34" s="7">
        <v>5.439814814814814E-4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ht="14.25" customHeight="1">
      <c r="A35" s="28" t="s">
        <v>22</v>
      </c>
      <c r="B35" s="7">
        <v>0.023078703703703702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ht="14.25" customHeight="1">
      <c r="A36" s="28" t="s">
        <v>22</v>
      </c>
      <c r="B36" s="7">
        <v>0.007060185185185185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ht="14.25" customHeight="1">
      <c r="A37" s="28" t="s">
        <v>18</v>
      </c>
      <c r="B37" s="9">
        <v>0.017175925925925924</v>
      </c>
      <c r="C37" s="29"/>
      <c r="D37" s="29"/>
      <c r="E37" s="5"/>
      <c r="F37" s="5"/>
      <c r="G37" s="29"/>
      <c r="H37" s="29"/>
      <c r="I37" s="5"/>
      <c r="J37" s="5"/>
      <c r="K37" s="5"/>
      <c r="L37" s="5"/>
    </row>
    <row r="38" ht="14.25" customHeight="1">
      <c r="A38" s="34" t="s">
        <v>15</v>
      </c>
      <c r="B38" s="36">
        <f>SUM(B18:B37)</f>
        <v>0.4042824074</v>
      </c>
      <c r="C38" s="3"/>
      <c r="D38" s="3"/>
      <c r="E38" s="40"/>
      <c r="F38" s="40">
        <f>SUM(F17:F36)</f>
        <v>0.689375</v>
      </c>
      <c r="G38" s="3"/>
      <c r="H38" s="36">
        <f>SUM(H18:H36)</f>
        <v>0.02414351852</v>
      </c>
      <c r="I38" s="40"/>
      <c r="J38" s="40">
        <f>SUM(J18:J36)</f>
        <v>0.02648148148</v>
      </c>
      <c r="K38" s="40"/>
      <c r="L38" s="40">
        <f>SUM(L18:L36)</f>
        <v>0.03163194444</v>
      </c>
    </row>
    <row r="39" ht="14.25" customHeight="1">
      <c r="A39" s="24"/>
      <c r="B39" s="21" t="s">
        <v>30</v>
      </c>
      <c r="C39" s="26"/>
      <c r="D39" s="21" t="s">
        <v>2</v>
      </c>
      <c r="E39" s="26"/>
      <c r="F39" s="21" t="s">
        <v>3</v>
      </c>
      <c r="G39" s="26"/>
      <c r="H39" s="21" t="s">
        <v>4</v>
      </c>
      <c r="I39" s="26"/>
      <c r="J39" s="21" t="s">
        <v>5</v>
      </c>
      <c r="K39" s="26"/>
      <c r="L39" s="21" t="s">
        <v>6</v>
      </c>
    </row>
    <row r="40" ht="14.25" customHeight="1">
      <c r="A40" s="24" t="s">
        <v>16</v>
      </c>
      <c r="B40" s="41" t="s">
        <v>37</v>
      </c>
      <c r="C40" s="26" t="s">
        <v>16</v>
      </c>
      <c r="D40" s="27"/>
      <c r="E40" s="26" t="s">
        <v>16</v>
      </c>
      <c r="F40" s="27"/>
      <c r="G40" s="26" t="s">
        <v>16</v>
      </c>
      <c r="H40" s="27"/>
      <c r="I40" s="26" t="s">
        <v>16</v>
      </c>
      <c r="J40" s="27"/>
      <c r="K40" s="26" t="s">
        <v>16</v>
      </c>
      <c r="L40" s="27"/>
    </row>
    <row r="41" ht="14.25" customHeight="1">
      <c r="A41" s="28" t="s">
        <v>22</v>
      </c>
      <c r="B41" s="7">
        <v>0.04128472222222222</v>
      </c>
      <c r="C41" s="29"/>
      <c r="D41" s="29"/>
      <c r="E41" s="5"/>
      <c r="F41" s="6">
        <v>0.23333333333333334</v>
      </c>
      <c r="G41" s="29"/>
      <c r="H41" s="29"/>
      <c r="I41" s="10" t="s">
        <v>38</v>
      </c>
      <c r="J41" s="7">
        <v>0.0575462962962963</v>
      </c>
      <c r="K41" s="10" t="s">
        <v>39</v>
      </c>
      <c r="L41" s="7">
        <v>0.016446759259259258</v>
      </c>
    </row>
    <row r="42" ht="14.25" customHeight="1">
      <c r="A42" s="28" t="s">
        <v>22</v>
      </c>
      <c r="B42" s="7">
        <v>0.04113425925925926</v>
      </c>
      <c r="C42" s="29"/>
      <c r="D42" s="29"/>
      <c r="E42" s="29"/>
      <c r="F42" s="29"/>
      <c r="G42" s="29"/>
      <c r="H42" s="29"/>
      <c r="I42" s="10" t="s">
        <v>38</v>
      </c>
      <c r="J42" s="7">
        <v>0.019178240740740742</v>
      </c>
      <c r="K42" s="10" t="s">
        <v>40</v>
      </c>
      <c r="L42" s="7">
        <v>0.10934027777777777</v>
      </c>
    </row>
    <row r="43" ht="14.25" customHeight="1">
      <c r="A43" s="28" t="s">
        <v>22</v>
      </c>
      <c r="B43" s="7">
        <v>0.03423611111111111</v>
      </c>
      <c r="C43" s="29"/>
      <c r="D43" s="29"/>
      <c r="E43" s="29"/>
      <c r="F43" s="29"/>
      <c r="G43" s="29"/>
      <c r="H43" s="29"/>
      <c r="I43" s="10" t="s">
        <v>38</v>
      </c>
      <c r="J43" s="7">
        <v>0.01525462962962963</v>
      </c>
      <c r="K43" s="10" t="s">
        <v>22</v>
      </c>
      <c r="L43" s="7">
        <v>0.03608796296296296</v>
      </c>
    </row>
    <row r="44" ht="14.25" customHeight="1">
      <c r="A44" s="28" t="s">
        <v>22</v>
      </c>
      <c r="B44" s="7">
        <v>0.029768518518518517</v>
      </c>
      <c r="C44" s="29"/>
      <c r="D44" s="29"/>
      <c r="E44" s="29"/>
      <c r="F44" s="29"/>
      <c r="G44" s="29"/>
      <c r="H44" s="29"/>
      <c r="I44" s="10" t="s">
        <v>38</v>
      </c>
      <c r="J44" s="7">
        <v>0.004722222222222222</v>
      </c>
      <c r="K44" s="29"/>
      <c r="L44" s="29"/>
    </row>
    <row r="45" ht="14.25" customHeight="1">
      <c r="A45" s="28" t="s">
        <v>22</v>
      </c>
      <c r="B45" s="7">
        <v>0.0078125</v>
      </c>
      <c r="C45" s="29"/>
      <c r="D45" s="29"/>
      <c r="E45" s="29"/>
      <c r="F45" s="29"/>
      <c r="G45" s="29"/>
      <c r="H45" s="29"/>
      <c r="I45" s="10" t="s">
        <v>38</v>
      </c>
      <c r="J45" s="7">
        <v>1.6203703703703703E-4</v>
      </c>
      <c r="K45" s="29"/>
      <c r="L45" s="29"/>
    </row>
    <row r="46" ht="14.25" customHeight="1">
      <c r="A46" s="28" t="s">
        <v>22</v>
      </c>
      <c r="B46" s="7">
        <v>0.01810185185185185</v>
      </c>
      <c r="C46" s="29"/>
      <c r="D46" s="29"/>
      <c r="E46" s="29"/>
      <c r="F46" s="29"/>
      <c r="G46" s="29"/>
      <c r="H46" s="29"/>
      <c r="I46" s="10" t="s">
        <v>38</v>
      </c>
      <c r="J46" s="7">
        <v>0.0046875</v>
      </c>
      <c r="K46" s="29"/>
      <c r="L46" s="29"/>
    </row>
    <row r="47" ht="14.25" customHeight="1">
      <c r="A47" s="28" t="s">
        <v>22</v>
      </c>
      <c r="B47" s="7">
        <v>1.5046296296296297E-4</v>
      </c>
      <c r="C47" s="29"/>
      <c r="D47" s="29"/>
      <c r="E47" s="29"/>
      <c r="F47" s="29"/>
      <c r="G47" s="29"/>
      <c r="H47" s="29"/>
      <c r="I47" s="10" t="s">
        <v>38</v>
      </c>
      <c r="J47" s="7">
        <v>0.012094907407407407</v>
      </c>
      <c r="K47" s="29"/>
      <c r="L47" s="29"/>
    </row>
    <row r="48" ht="14.25" customHeight="1">
      <c r="A48" s="28" t="s">
        <v>22</v>
      </c>
      <c r="B48" s="7">
        <v>2.4305555555555555E-4</v>
      </c>
      <c r="C48" s="29"/>
      <c r="D48" s="29"/>
      <c r="E48" s="29"/>
      <c r="F48" s="29"/>
      <c r="G48" s="29"/>
      <c r="H48" s="29"/>
      <c r="I48" s="10" t="s">
        <v>38</v>
      </c>
      <c r="J48" s="7">
        <v>0.02900462962962963</v>
      </c>
      <c r="K48" s="29"/>
      <c r="L48" s="29"/>
    </row>
    <row r="49" ht="14.25" customHeight="1">
      <c r="A49" s="28" t="s">
        <v>22</v>
      </c>
      <c r="B49" s="7">
        <v>0.011412037037037037</v>
      </c>
      <c r="C49" s="29"/>
      <c r="D49" s="29"/>
      <c r="E49" s="29"/>
      <c r="F49" s="29"/>
      <c r="G49" s="29"/>
      <c r="H49" s="29"/>
      <c r="I49" s="10" t="s">
        <v>38</v>
      </c>
      <c r="J49" s="7">
        <v>0.027962962962962964</v>
      </c>
      <c r="K49" s="29"/>
      <c r="L49" s="29"/>
    </row>
    <row r="50" ht="14.25" customHeight="1">
      <c r="A50" s="28" t="s">
        <v>22</v>
      </c>
      <c r="B50" s="7">
        <v>0.019131944444444444</v>
      </c>
      <c r="C50" s="29"/>
      <c r="D50" s="29"/>
      <c r="E50" s="29"/>
      <c r="F50" s="29"/>
      <c r="G50" s="29"/>
      <c r="H50" s="29"/>
      <c r="I50" s="10" t="s">
        <v>38</v>
      </c>
      <c r="J50" s="7">
        <v>0.016400462962962964</v>
      </c>
      <c r="K50" s="29"/>
      <c r="L50" s="29"/>
    </row>
    <row r="51" ht="14.25" customHeight="1">
      <c r="A51" s="28" t="s">
        <v>22</v>
      </c>
      <c r="B51" s="7">
        <v>0.026516203703703705</v>
      </c>
      <c r="C51" s="29"/>
      <c r="D51" s="29"/>
      <c r="E51" s="29"/>
      <c r="F51" s="29"/>
      <c r="G51" s="29"/>
      <c r="H51" s="29"/>
      <c r="I51" s="10" t="s">
        <v>38</v>
      </c>
      <c r="J51" s="7">
        <v>0.031574074074074074</v>
      </c>
      <c r="K51" s="29"/>
      <c r="L51" s="29"/>
    </row>
    <row r="52" ht="14.25" customHeight="1">
      <c r="A52" s="28" t="s">
        <v>22</v>
      </c>
      <c r="B52" s="7">
        <v>0.04517361111111111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</row>
    <row r="53" ht="14.25" customHeight="1">
      <c r="A53" s="42" t="s">
        <v>41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4"/>
    </row>
    <row r="54" ht="14.25" customHeight="1">
      <c r="A54" s="28" t="s">
        <v>22</v>
      </c>
      <c r="B54" s="7">
        <v>0.1352662037037037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ht="14.25" customHeight="1">
      <c r="A55" s="28" t="s">
        <v>22</v>
      </c>
      <c r="B55" s="7">
        <v>0.03125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ht="14.25" customHeight="1">
      <c r="A56" s="28" t="s">
        <v>22</v>
      </c>
      <c r="B56" s="7">
        <v>0.027662037037037037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ht="14.25" customHeight="1">
      <c r="A57" s="28" t="s">
        <v>22</v>
      </c>
      <c r="B57" s="7">
        <v>2.662037037037037E-4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ht="14.25" customHeight="1">
      <c r="A58" s="28" t="s">
        <v>22</v>
      </c>
      <c r="B58" s="7">
        <v>0.018541666666666668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</row>
    <row r="59" ht="14.25" customHeight="1">
      <c r="A59" s="34" t="s">
        <v>15</v>
      </c>
      <c r="B59" s="36">
        <f>SUM(B41:B58)</f>
        <v>0.4879513889</v>
      </c>
      <c r="C59" s="3"/>
      <c r="D59" s="3"/>
      <c r="E59" s="3"/>
      <c r="F59" s="40">
        <f>SUM(F41:F58)</f>
        <v>0.2333333333</v>
      </c>
      <c r="G59" s="3"/>
      <c r="H59" s="3">
        <f>SUM(H41:H51)</f>
        <v>0</v>
      </c>
      <c r="I59" s="3"/>
      <c r="J59" s="36">
        <f>SUM(J41:J58)</f>
        <v>0.218587963</v>
      </c>
      <c r="K59" s="3"/>
      <c r="L59" s="36">
        <f>SUM(L41:L58)</f>
        <v>0.161875</v>
      </c>
    </row>
    <row r="60" ht="14.25" customHeight="1">
      <c r="A60" s="24"/>
      <c r="B60" s="21" t="s">
        <v>30</v>
      </c>
      <c r="C60" s="26"/>
      <c r="D60" s="21" t="s">
        <v>2</v>
      </c>
      <c r="E60" s="26"/>
      <c r="F60" s="21" t="s">
        <v>3</v>
      </c>
      <c r="G60" s="26"/>
      <c r="H60" s="21" t="s">
        <v>4</v>
      </c>
      <c r="I60" s="26"/>
      <c r="J60" s="21" t="s">
        <v>5</v>
      </c>
      <c r="K60" s="26"/>
      <c r="L60" s="21" t="s">
        <v>6</v>
      </c>
    </row>
    <row r="61" ht="14.25" customHeight="1">
      <c r="A61" s="24" t="s">
        <v>16</v>
      </c>
      <c r="B61" s="41" t="s">
        <v>42</v>
      </c>
      <c r="C61" s="26" t="s">
        <v>16</v>
      </c>
      <c r="D61" s="27"/>
      <c r="E61" s="26" t="s">
        <v>16</v>
      </c>
      <c r="F61" s="27"/>
      <c r="G61" s="26" t="s">
        <v>16</v>
      </c>
      <c r="H61" s="27"/>
      <c r="I61" s="26" t="s">
        <v>16</v>
      </c>
      <c r="J61" s="27"/>
      <c r="K61" s="26" t="s">
        <v>16</v>
      </c>
      <c r="L61" s="27"/>
    </row>
    <row r="62" ht="14.25" customHeight="1">
      <c r="A62" s="28" t="s">
        <v>22</v>
      </c>
      <c r="B62" s="7">
        <v>0.0028703703703703703</v>
      </c>
      <c r="C62" s="7"/>
      <c r="D62" s="7">
        <v>0.024421296296296295</v>
      </c>
      <c r="E62" s="7"/>
      <c r="F62" s="7">
        <v>0.09237268518518518</v>
      </c>
      <c r="G62" s="10" t="s">
        <v>22</v>
      </c>
      <c r="H62" s="7">
        <v>0.16012731481481482</v>
      </c>
      <c r="I62" s="10" t="s">
        <v>22</v>
      </c>
      <c r="J62" s="7">
        <v>0.1171412037037037</v>
      </c>
      <c r="K62" s="29"/>
      <c r="L62" s="29"/>
    </row>
    <row r="63" ht="14.25" customHeight="1">
      <c r="A63" s="28" t="s">
        <v>22</v>
      </c>
      <c r="B63" s="7">
        <v>0.16708333333333333</v>
      </c>
      <c r="C63" s="29"/>
      <c r="D63" s="29"/>
      <c r="E63" s="29"/>
      <c r="F63" s="29"/>
      <c r="G63" s="10" t="s">
        <v>43</v>
      </c>
      <c r="H63" s="7">
        <v>0.017881944444444443</v>
      </c>
      <c r="I63" s="10" t="s">
        <v>22</v>
      </c>
      <c r="J63" s="7">
        <v>0.05094907407407408</v>
      </c>
      <c r="K63" s="29"/>
      <c r="L63" s="29"/>
    </row>
    <row r="64" ht="14.25" customHeight="1">
      <c r="A64" s="28" t="s">
        <v>22</v>
      </c>
      <c r="B64" s="7">
        <v>0.01716435185185185</v>
      </c>
      <c r="C64" s="29"/>
      <c r="D64" s="29"/>
      <c r="E64" s="29"/>
      <c r="F64" s="29"/>
      <c r="G64" s="29"/>
      <c r="H64" s="29"/>
      <c r="I64" s="28" t="s">
        <v>44</v>
      </c>
      <c r="J64" s="7">
        <v>0.06239583333333333</v>
      </c>
      <c r="K64" s="29"/>
      <c r="L64" s="29"/>
    </row>
    <row r="65" ht="14.25" customHeight="1">
      <c r="A65" s="28" t="s">
        <v>22</v>
      </c>
      <c r="B65" s="7">
        <v>0.014085648148148147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</row>
    <row r="66" ht="14.25" customHeight="1">
      <c r="A66" s="28" t="s">
        <v>44</v>
      </c>
      <c r="B66" s="7">
        <v>0.06239583333333333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</row>
    <row r="67" ht="14.25" customHeight="1">
      <c r="A67" s="28" t="s">
        <v>22</v>
      </c>
      <c r="B67" s="7">
        <v>0.10212962962962963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</row>
    <row r="68" ht="14.25" customHeight="1">
      <c r="A68" s="28" t="s">
        <v>22</v>
      </c>
      <c r="B68" s="7">
        <v>0.02273148148148148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</row>
    <row r="69" ht="14.25" customHeight="1">
      <c r="A69" s="28" t="s">
        <v>22</v>
      </c>
      <c r="B69" s="7">
        <v>3.8194444444444446E-4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</row>
    <row r="70" ht="14.25" customHeight="1">
      <c r="A70" s="28" t="s">
        <v>22</v>
      </c>
      <c r="B70" s="7">
        <v>0.011099537037037036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ht="14.25" customHeight="1">
      <c r="A71" s="28" t="s">
        <v>22</v>
      </c>
      <c r="B71" s="7">
        <v>0.019965277777777776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</row>
    <row r="72" ht="14.25" customHeight="1">
      <c r="A72" s="28" t="s">
        <v>22</v>
      </c>
      <c r="B72" s="7">
        <v>0.10784722222222222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</row>
    <row r="73" ht="14.25" customHeight="1">
      <c r="A73" s="28" t="s">
        <v>22</v>
      </c>
      <c r="B73" s="7">
        <v>0.04087962962962963</v>
      </c>
      <c r="C73" s="29"/>
      <c r="D73" s="29"/>
      <c r="E73" s="29"/>
      <c r="F73" s="29"/>
      <c r="G73" s="29"/>
      <c r="H73" s="29"/>
      <c r="I73" s="29"/>
      <c r="J73" s="29"/>
      <c r="K73" s="29"/>
      <c r="L73" s="29"/>
    </row>
    <row r="74" ht="14.25" customHeight="1">
      <c r="A74" s="28" t="s">
        <v>22</v>
      </c>
      <c r="B74" s="7">
        <v>0.0600462962962963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</row>
    <row r="75" ht="14.25" customHeight="1">
      <c r="A75" s="34" t="s">
        <v>15</v>
      </c>
      <c r="B75" s="36">
        <f>SUM(B62:B74)</f>
        <v>0.6286805556</v>
      </c>
      <c r="C75" s="45"/>
      <c r="D75" s="35">
        <f>SUM(D62:D74)</f>
        <v>0.0244212963</v>
      </c>
      <c r="E75" s="46"/>
      <c r="F75" s="36">
        <f>SUM(F62:F74)</f>
        <v>0.09237268519</v>
      </c>
      <c r="G75" s="46"/>
      <c r="H75" s="36">
        <f>SUM(H62:H74)</f>
        <v>0.1780092593</v>
      </c>
      <c r="I75" s="46"/>
      <c r="J75" s="36">
        <f>SUM(J62:J74)</f>
        <v>0.2304861111</v>
      </c>
      <c r="K75" s="46"/>
      <c r="L75" s="46"/>
    </row>
    <row r="76" ht="14.25" customHeight="1">
      <c r="A76" s="24"/>
      <c r="B76" s="21" t="s">
        <v>30</v>
      </c>
      <c r="C76" s="26"/>
      <c r="D76" s="21" t="s">
        <v>2</v>
      </c>
      <c r="E76" s="26"/>
      <c r="F76" s="21" t="s">
        <v>3</v>
      </c>
      <c r="G76" s="26"/>
      <c r="H76" s="21" t="s">
        <v>4</v>
      </c>
      <c r="I76" s="26"/>
      <c r="J76" s="21" t="s">
        <v>5</v>
      </c>
      <c r="K76" s="26"/>
      <c r="L76" s="21" t="s">
        <v>6</v>
      </c>
    </row>
    <row r="77" ht="14.25" customHeight="1">
      <c r="A77" s="24" t="s">
        <v>16</v>
      </c>
      <c r="B77" s="41" t="s">
        <v>45</v>
      </c>
      <c r="C77" s="26" t="s">
        <v>16</v>
      </c>
      <c r="D77" s="27"/>
      <c r="E77" s="26" t="s">
        <v>16</v>
      </c>
      <c r="F77" s="27"/>
      <c r="G77" s="26" t="s">
        <v>16</v>
      </c>
      <c r="H77" s="27"/>
      <c r="I77" s="26" t="s">
        <v>16</v>
      </c>
      <c r="J77" s="27"/>
      <c r="K77" s="26" t="s">
        <v>16</v>
      </c>
      <c r="L77" s="27"/>
    </row>
    <row r="78" ht="14.25" customHeight="1">
      <c r="A78" s="28" t="s">
        <v>46</v>
      </c>
      <c r="B78" s="7">
        <v>0.125</v>
      </c>
      <c r="C78" s="47" t="s">
        <v>47</v>
      </c>
      <c r="D78" s="48">
        <v>0.11513888888888889</v>
      </c>
      <c r="E78" s="49"/>
      <c r="F78" s="49"/>
      <c r="G78" s="48"/>
      <c r="H78" s="48">
        <v>0.013888888888888888</v>
      </c>
      <c r="I78" s="28" t="s">
        <v>48</v>
      </c>
      <c r="J78" s="7">
        <v>0.08333333333333333</v>
      </c>
      <c r="K78" s="10" t="s">
        <v>49</v>
      </c>
      <c r="L78" s="9">
        <v>0.03333333333333333</v>
      </c>
    </row>
    <row r="79" ht="14.25" customHeight="1">
      <c r="A79" s="28" t="s">
        <v>50</v>
      </c>
      <c r="B79" s="7">
        <v>0.06944444444444445</v>
      </c>
      <c r="C79" s="47" t="s">
        <v>47</v>
      </c>
      <c r="D79" s="48">
        <v>0.5638888888888889</v>
      </c>
      <c r="E79" s="49"/>
      <c r="F79" s="49"/>
      <c r="G79" s="49"/>
      <c r="H79" s="49"/>
      <c r="I79" s="28" t="s">
        <v>48</v>
      </c>
      <c r="J79" s="50">
        <v>0.09305555555555556</v>
      </c>
      <c r="K79" s="7"/>
      <c r="L79" s="7"/>
    </row>
    <row r="80" ht="14.25" customHeight="1">
      <c r="A80" s="32" t="s">
        <v>46</v>
      </c>
      <c r="B80" s="51">
        <v>0.0625</v>
      </c>
      <c r="C80" s="47" t="s">
        <v>47</v>
      </c>
      <c r="D80" s="52">
        <v>0.19444444444444445</v>
      </c>
      <c r="E80" s="49"/>
      <c r="F80" s="49"/>
      <c r="G80" s="49"/>
      <c r="H80" s="49"/>
      <c r="I80" s="31" t="s">
        <v>51</v>
      </c>
      <c r="J80" s="13">
        <v>0.041666666666666664</v>
      </c>
      <c r="K80" s="49"/>
      <c r="L80" s="49"/>
    </row>
    <row r="81" ht="14.25" customHeight="1">
      <c r="A81" s="32" t="s">
        <v>46</v>
      </c>
      <c r="B81" s="53">
        <v>0.08333333333333333</v>
      </c>
      <c r="C81" s="48"/>
      <c r="D81" s="48"/>
      <c r="E81" s="49"/>
      <c r="F81" s="49"/>
      <c r="G81" s="49"/>
      <c r="H81" s="49"/>
      <c r="I81" s="49"/>
      <c r="J81" s="49"/>
      <c r="K81" s="48"/>
      <c r="L81" s="48"/>
    </row>
    <row r="82" ht="14.25" customHeight="1">
      <c r="A82" s="28" t="s">
        <v>52</v>
      </c>
      <c r="B82" s="9">
        <v>0.05763888888888889</v>
      </c>
      <c r="C82" s="48"/>
      <c r="D82" s="48"/>
      <c r="E82" s="49"/>
      <c r="F82" s="49"/>
      <c r="G82" s="49"/>
      <c r="H82" s="49"/>
      <c r="I82" s="49"/>
      <c r="J82" s="49"/>
      <c r="K82" s="49"/>
      <c r="L82" s="49"/>
    </row>
    <row r="83" ht="14.25" customHeight="1">
      <c r="A83" s="54"/>
      <c r="B83" s="7"/>
      <c r="C83" s="48"/>
      <c r="D83" s="48"/>
      <c r="E83" s="49"/>
      <c r="F83" s="49"/>
      <c r="G83" s="49"/>
      <c r="H83" s="49"/>
      <c r="I83" s="49"/>
      <c r="J83" s="49"/>
      <c r="K83" s="49"/>
      <c r="L83" s="49"/>
    </row>
    <row r="84" ht="14.25" customHeight="1">
      <c r="A84" s="54"/>
      <c r="B84" s="7"/>
      <c r="C84" s="48"/>
      <c r="D84" s="48"/>
      <c r="E84" s="49"/>
      <c r="F84" s="49"/>
      <c r="G84" s="49"/>
      <c r="H84" s="49"/>
      <c r="I84" s="49"/>
      <c r="J84" s="49"/>
      <c r="K84" s="49"/>
      <c r="L84" s="49"/>
    </row>
    <row r="85" ht="14.25" customHeight="1">
      <c r="A85" s="54"/>
      <c r="B85" s="7"/>
      <c r="C85" s="55"/>
      <c r="D85" s="55"/>
      <c r="E85" s="49"/>
      <c r="F85" s="49"/>
      <c r="G85" s="49"/>
      <c r="H85" s="49"/>
      <c r="I85" s="49"/>
      <c r="J85" s="49"/>
      <c r="K85" s="55"/>
      <c r="L85" s="55"/>
    </row>
    <row r="86" ht="14.25" customHeight="1">
      <c r="A86" s="3" t="s">
        <v>15</v>
      </c>
      <c r="B86" s="40">
        <f>SUM(B78:B85)</f>
        <v>0.3979166667</v>
      </c>
      <c r="C86" s="56"/>
      <c r="D86" s="56">
        <f>SUM(D78:D83)</f>
        <v>0.8734722222</v>
      </c>
      <c r="E86" s="57"/>
      <c r="F86" s="57"/>
      <c r="G86" s="57"/>
      <c r="H86" s="35">
        <f>SUM(H78:H85)</f>
        <v>0.01388888889</v>
      </c>
      <c r="I86" s="57"/>
      <c r="J86" s="35">
        <f>SUM(J78:J85)</f>
        <v>0.2180555556</v>
      </c>
      <c r="K86" s="40"/>
      <c r="L86" s="40">
        <f>SUM(L78:L80)</f>
        <v>0.03333333333</v>
      </c>
    </row>
    <row r="87" ht="14.25" customHeight="1">
      <c r="A87" s="24"/>
      <c r="B87" s="21" t="s">
        <v>30</v>
      </c>
      <c r="C87" s="26"/>
      <c r="D87" s="21" t="s">
        <v>2</v>
      </c>
      <c r="E87" s="26"/>
      <c r="F87" s="21" t="s">
        <v>3</v>
      </c>
      <c r="G87" s="26"/>
      <c r="H87" s="21" t="s">
        <v>4</v>
      </c>
      <c r="I87" s="26"/>
      <c r="J87" s="21" t="s">
        <v>5</v>
      </c>
      <c r="K87" s="26"/>
      <c r="L87" s="21" t="s">
        <v>6</v>
      </c>
    </row>
    <row r="88" ht="14.25" customHeight="1">
      <c r="A88" s="24" t="s">
        <v>16</v>
      </c>
      <c r="B88" s="41" t="s">
        <v>53</v>
      </c>
      <c r="C88" s="26" t="s">
        <v>16</v>
      </c>
      <c r="D88" s="27"/>
      <c r="E88" s="26" t="s">
        <v>16</v>
      </c>
      <c r="F88" s="27"/>
      <c r="G88" s="26" t="s">
        <v>16</v>
      </c>
      <c r="H88" s="27"/>
      <c r="I88" s="26" t="s">
        <v>16</v>
      </c>
      <c r="J88" s="27"/>
      <c r="K88" s="26" t="s">
        <v>16</v>
      </c>
      <c r="L88" s="27"/>
    </row>
    <row r="89" ht="14.25" customHeight="1">
      <c r="A89" s="54"/>
      <c r="B89" s="7">
        <v>0.08333333333333333</v>
      </c>
      <c r="C89" s="47" t="s">
        <v>54</v>
      </c>
      <c r="D89" s="13">
        <v>0.17631944444444445</v>
      </c>
      <c r="E89" s="58" t="s">
        <v>55</v>
      </c>
      <c r="F89" s="7">
        <v>0.39791666666666664</v>
      </c>
      <c r="G89" s="10" t="s">
        <v>56</v>
      </c>
      <c r="H89" s="7">
        <v>0.10641203703703704</v>
      </c>
      <c r="I89" s="10" t="s">
        <v>57</v>
      </c>
      <c r="J89" s="7">
        <v>0.003472222222222222</v>
      </c>
      <c r="K89" s="10" t="s">
        <v>58</v>
      </c>
      <c r="L89" s="7">
        <v>0.125</v>
      </c>
    </row>
    <row r="90" ht="14.25" customHeight="1">
      <c r="A90" s="54"/>
      <c r="B90" s="29"/>
      <c r="C90" s="47" t="s">
        <v>59</v>
      </c>
      <c r="D90" s="13">
        <v>0.16666666666666666</v>
      </c>
      <c r="E90" s="58" t="s">
        <v>55</v>
      </c>
      <c r="F90" s="7">
        <v>0.3541666666666667</v>
      </c>
      <c r="G90" s="39" t="s">
        <v>60</v>
      </c>
      <c r="H90" s="7">
        <v>0.13541666666666666</v>
      </c>
      <c r="I90" s="29"/>
      <c r="J90" s="29"/>
      <c r="K90" s="10" t="s">
        <v>58</v>
      </c>
      <c r="L90" s="7">
        <v>0.0625</v>
      </c>
    </row>
    <row r="91" ht="14.25" customHeight="1">
      <c r="A91" s="54"/>
      <c r="B91" s="29"/>
      <c r="C91" s="47" t="s">
        <v>61</v>
      </c>
      <c r="D91" s="50">
        <v>0.32806712962962964</v>
      </c>
      <c r="E91" s="58" t="s">
        <v>55</v>
      </c>
      <c r="F91" s="7">
        <v>0.125</v>
      </c>
      <c r="G91" s="10" t="s">
        <v>56</v>
      </c>
      <c r="H91" s="7">
        <v>0.06527777777777778</v>
      </c>
      <c r="I91" s="29"/>
      <c r="J91" s="29"/>
      <c r="K91" s="10" t="s">
        <v>62</v>
      </c>
      <c r="L91" s="9">
        <v>0.23644675925925926</v>
      </c>
    </row>
    <row r="92" ht="14.25" customHeight="1">
      <c r="A92" s="54"/>
      <c r="B92" s="29"/>
      <c r="C92" s="49"/>
      <c r="D92" s="49"/>
      <c r="E92" s="29"/>
      <c r="F92" s="29"/>
      <c r="G92" s="29"/>
      <c r="H92" s="29"/>
      <c r="I92" s="29"/>
      <c r="J92" s="29"/>
      <c r="K92" s="29"/>
      <c r="L92" s="29"/>
    </row>
    <row r="93" ht="14.25" customHeight="1">
      <c r="A93" s="3" t="s">
        <v>15</v>
      </c>
      <c r="B93" s="40">
        <f>SUM(B89)</f>
        <v>0.08333333333</v>
      </c>
      <c r="C93" s="56"/>
      <c r="D93" s="56">
        <f>SUM(D89:D92)</f>
        <v>0.6710532407</v>
      </c>
      <c r="E93" s="40"/>
      <c r="F93" s="40">
        <f>SUM(F89:F91)</f>
        <v>0.8770833333</v>
      </c>
      <c r="G93" s="40"/>
      <c r="H93" s="40">
        <f>SUM(H89:H91)</f>
        <v>0.3071064815</v>
      </c>
      <c r="I93" s="40"/>
      <c r="J93" s="40">
        <f>SUM(J89)</f>
        <v>0.003472222222</v>
      </c>
      <c r="K93" s="40"/>
      <c r="L93" s="40">
        <f>SUM(L89:L91)</f>
        <v>0.4239467593</v>
      </c>
    </row>
    <row r="94" ht="14.25" customHeight="1">
      <c r="A94" s="24"/>
      <c r="B94" s="21" t="s">
        <v>30</v>
      </c>
      <c r="C94" s="26"/>
      <c r="D94" s="21" t="s">
        <v>2</v>
      </c>
      <c r="E94" s="26"/>
      <c r="F94" s="21" t="s">
        <v>3</v>
      </c>
      <c r="G94" s="26"/>
      <c r="H94" s="21" t="s">
        <v>4</v>
      </c>
      <c r="I94" s="26"/>
      <c r="J94" s="21" t="s">
        <v>5</v>
      </c>
      <c r="K94" s="26"/>
      <c r="L94" s="21" t="s">
        <v>6</v>
      </c>
    </row>
    <row r="95" ht="14.25" customHeight="1">
      <c r="A95" s="59" t="s">
        <v>16</v>
      </c>
      <c r="B95" s="60" t="s">
        <v>63</v>
      </c>
      <c r="C95" s="61" t="s">
        <v>16</v>
      </c>
      <c r="D95" s="29"/>
      <c r="E95" s="61" t="s">
        <v>16</v>
      </c>
      <c r="F95" s="29"/>
      <c r="G95" s="61" t="s">
        <v>16</v>
      </c>
      <c r="H95" s="29"/>
      <c r="I95" s="61" t="s">
        <v>16</v>
      </c>
      <c r="J95" s="29"/>
      <c r="K95" s="61" t="s">
        <v>16</v>
      </c>
      <c r="L95" s="29"/>
    </row>
    <row r="96" ht="14.25" customHeight="1">
      <c r="A96" s="28" t="s">
        <v>64</v>
      </c>
      <c r="B96" s="9">
        <v>0.020833333333333332</v>
      </c>
      <c r="C96" s="47" t="s">
        <v>65</v>
      </c>
      <c r="D96" s="13">
        <v>0.5</v>
      </c>
      <c r="E96" s="29"/>
      <c r="F96" s="29"/>
      <c r="G96" s="29"/>
      <c r="H96" s="29"/>
      <c r="I96" s="10" t="s">
        <v>66</v>
      </c>
      <c r="J96" s="9">
        <v>0.022222222222222223</v>
      </c>
      <c r="K96" s="29"/>
      <c r="L96" s="29"/>
    </row>
    <row r="97" ht="14.25" customHeight="1">
      <c r="A97" s="28" t="s">
        <v>67</v>
      </c>
      <c r="B97" s="9">
        <v>0.04722222222222222</v>
      </c>
      <c r="C97" s="47" t="s">
        <v>68</v>
      </c>
      <c r="D97" s="50">
        <v>0.03420138888888889</v>
      </c>
      <c r="E97" s="29"/>
      <c r="F97" s="29"/>
      <c r="G97" s="29"/>
      <c r="H97" s="29"/>
      <c r="I97" s="10" t="s">
        <v>69</v>
      </c>
      <c r="J97" s="9">
        <v>0.06859953703703704</v>
      </c>
      <c r="K97" s="29"/>
      <c r="L97" s="29"/>
    </row>
    <row r="98" ht="14.25" customHeight="1">
      <c r="A98" s="54"/>
      <c r="B98" s="9"/>
      <c r="C98" s="47" t="s">
        <v>68</v>
      </c>
      <c r="D98" s="13">
        <v>0.03017361111111111</v>
      </c>
      <c r="E98" s="29"/>
      <c r="F98" s="29"/>
      <c r="G98" s="29"/>
      <c r="H98" s="29"/>
      <c r="I98" s="10" t="s">
        <v>70</v>
      </c>
      <c r="J98" s="6">
        <v>0.1909722222222222</v>
      </c>
      <c r="K98" s="29"/>
      <c r="L98" s="29"/>
    </row>
    <row r="99" ht="14.25" customHeight="1">
      <c r="A99" s="54"/>
      <c r="B99" s="9"/>
      <c r="C99" s="47" t="s">
        <v>68</v>
      </c>
      <c r="D99" s="13">
        <v>0.0625</v>
      </c>
      <c r="E99" s="29"/>
      <c r="F99" s="29"/>
      <c r="G99" s="29"/>
      <c r="H99" s="29"/>
      <c r="I99" s="31" t="s">
        <v>68</v>
      </c>
      <c r="J99" s="50">
        <v>0.03420138888888889</v>
      </c>
      <c r="K99" s="29"/>
      <c r="L99" s="29"/>
    </row>
    <row r="100" ht="14.25" customHeight="1">
      <c r="A100" s="28"/>
      <c r="B100" s="9"/>
      <c r="C100" s="47" t="s">
        <v>70</v>
      </c>
      <c r="D100" s="6">
        <v>0.1909722222222222</v>
      </c>
      <c r="E100" s="29"/>
      <c r="F100" s="29"/>
      <c r="G100" s="29"/>
      <c r="H100" s="29"/>
      <c r="I100" s="31" t="s">
        <v>68</v>
      </c>
      <c r="J100" s="13">
        <v>0.03017361111111111</v>
      </c>
      <c r="K100" s="29"/>
      <c r="L100" s="29"/>
    </row>
    <row r="101" ht="14.25" customHeight="1">
      <c r="A101" s="28"/>
      <c r="B101" s="9"/>
      <c r="C101" s="49"/>
      <c r="D101" s="62"/>
      <c r="E101" s="29"/>
      <c r="F101" s="29"/>
      <c r="G101" s="29"/>
      <c r="H101" s="29"/>
      <c r="I101" s="31" t="s">
        <v>68</v>
      </c>
      <c r="J101" s="13">
        <v>0.0625</v>
      </c>
      <c r="K101" s="29"/>
      <c r="L101" s="29"/>
    </row>
    <row r="102" ht="14.25" customHeight="1">
      <c r="A102" s="34" t="s">
        <v>15</v>
      </c>
      <c r="B102" s="36">
        <f>SUM(B96:B101)</f>
        <v>0.06805555556</v>
      </c>
      <c r="C102" s="45"/>
      <c r="D102" s="35">
        <f>SUM(D96:D101)</f>
        <v>0.8178472222</v>
      </c>
      <c r="E102" s="46"/>
      <c r="F102" s="46"/>
      <c r="G102" s="46"/>
      <c r="H102" s="46"/>
      <c r="I102" s="46"/>
      <c r="J102" s="36">
        <f>SUM(J96:J101)</f>
        <v>0.4086689815</v>
      </c>
      <c r="K102" s="46"/>
      <c r="L102" s="46"/>
    </row>
    <row r="103" ht="14.25" customHeight="1">
      <c r="A103" s="24"/>
      <c r="B103" s="21" t="s">
        <v>30</v>
      </c>
      <c r="C103" s="26"/>
      <c r="D103" s="21" t="s">
        <v>2</v>
      </c>
      <c r="E103" s="26"/>
      <c r="F103" s="21" t="s">
        <v>3</v>
      </c>
      <c r="G103" s="26"/>
      <c r="H103" s="21" t="s">
        <v>4</v>
      </c>
      <c r="I103" s="26"/>
      <c r="J103" s="21" t="s">
        <v>5</v>
      </c>
      <c r="K103" s="26"/>
      <c r="L103" s="21" t="s">
        <v>6</v>
      </c>
    </row>
    <row r="104" ht="14.25" customHeight="1">
      <c r="A104" s="59" t="s">
        <v>16</v>
      </c>
      <c r="B104" s="60" t="s">
        <v>71</v>
      </c>
      <c r="C104" s="61" t="s">
        <v>16</v>
      </c>
      <c r="D104" s="29"/>
      <c r="E104" s="61" t="s">
        <v>16</v>
      </c>
      <c r="F104" s="63"/>
      <c r="G104" s="61" t="s">
        <v>16</v>
      </c>
      <c r="H104" s="29"/>
      <c r="I104" s="61" t="s">
        <v>16</v>
      </c>
      <c r="J104" s="29"/>
      <c r="K104" s="61" t="s">
        <v>16</v>
      </c>
      <c r="L104" s="29"/>
    </row>
    <row r="105" ht="14.25" customHeight="1">
      <c r="A105" s="28" t="s">
        <v>67</v>
      </c>
      <c r="B105" s="6">
        <v>0.04722222222222222</v>
      </c>
      <c r="C105" s="47" t="s">
        <v>68</v>
      </c>
      <c r="D105" s="50">
        <v>0.03420138888888889</v>
      </c>
      <c r="E105" s="10" t="s">
        <v>72</v>
      </c>
      <c r="F105" s="6">
        <v>0.27569444444444446</v>
      </c>
      <c r="G105" s="29"/>
      <c r="H105" s="29"/>
      <c r="I105" s="31" t="s">
        <v>70</v>
      </c>
      <c r="J105" s="50">
        <v>0.1909722222222222</v>
      </c>
      <c r="K105" s="9"/>
      <c r="L105" s="9">
        <v>0.0763888888888889</v>
      </c>
    </row>
    <row r="106" ht="14.25" customHeight="1">
      <c r="A106" s="28"/>
      <c r="B106" s="9"/>
      <c r="C106" s="47" t="s">
        <v>68</v>
      </c>
      <c r="D106" s="13">
        <v>0.03017361111111111</v>
      </c>
      <c r="E106" s="29"/>
      <c r="F106" s="29"/>
      <c r="G106" s="29"/>
      <c r="H106" s="29"/>
      <c r="I106" s="10" t="s">
        <v>73</v>
      </c>
      <c r="J106" s="9">
        <v>0.03125</v>
      </c>
      <c r="K106" s="10" t="s">
        <v>74</v>
      </c>
      <c r="L106" s="9">
        <v>0.041666666666666664</v>
      </c>
    </row>
    <row r="107" ht="14.25" customHeight="1">
      <c r="A107" s="28" t="s">
        <v>75</v>
      </c>
      <c r="B107" s="9">
        <v>0.2326388888888889</v>
      </c>
      <c r="C107" s="47" t="s">
        <v>68</v>
      </c>
      <c r="D107" s="13">
        <v>0.0625</v>
      </c>
      <c r="E107" s="29"/>
      <c r="F107" s="29"/>
      <c r="G107" s="29"/>
      <c r="H107" s="29"/>
      <c r="I107" s="31" t="s">
        <v>68</v>
      </c>
      <c r="J107" s="50">
        <v>0.03420138888888889</v>
      </c>
      <c r="K107" s="10" t="s">
        <v>76</v>
      </c>
      <c r="L107" s="9">
        <v>0.19444444444444445</v>
      </c>
    </row>
    <row r="108" ht="14.25" customHeight="1">
      <c r="A108" s="54"/>
      <c r="B108" s="29"/>
      <c r="C108" s="47" t="s">
        <v>77</v>
      </c>
      <c r="D108" s="13">
        <v>0.3076388888888889</v>
      </c>
      <c r="E108" s="29"/>
      <c r="F108" s="29"/>
      <c r="G108" s="29"/>
      <c r="H108" s="29"/>
      <c r="I108" s="31" t="s">
        <v>68</v>
      </c>
      <c r="J108" s="13">
        <v>0.03017361111111111</v>
      </c>
      <c r="K108" s="29"/>
      <c r="L108" s="29"/>
    </row>
    <row r="109" ht="14.25" customHeight="1">
      <c r="A109" s="54"/>
      <c r="B109" s="29"/>
      <c r="C109" s="47" t="s">
        <v>77</v>
      </c>
      <c r="D109" s="13">
        <v>0.24097222222222223</v>
      </c>
      <c r="E109" s="29"/>
      <c r="F109" s="29"/>
      <c r="G109" s="29"/>
      <c r="H109" s="29"/>
      <c r="I109" s="31" t="s">
        <v>68</v>
      </c>
      <c r="J109" s="13">
        <v>0.0625</v>
      </c>
      <c r="K109" s="29"/>
      <c r="L109" s="29"/>
    </row>
    <row r="110" ht="14.25" customHeight="1">
      <c r="A110" s="54"/>
      <c r="B110" s="29"/>
      <c r="C110" s="47" t="s">
        <v>78</v>
      </c>
      <c r="D110" s="13">
        <v>0.10609953703703703</v>
      </c>
      <c r="E110" s="29"/>
      <c r="F110" s="29"/>
      <c r="G110" s="29"/>
      <c r="H110" s="29"/>
      <c r="I110" s="28" t="s">
        <v>75</v>
      </c>
      <c r="J110" s="9">
        <v>0.2326388888888889</v>
      </c>
      <c r="K110" s="29"/>
      <c r="L110" s="29"/>
    </row>
    <row r="111" ht="14.25" customHeight="1">
      <c r="A111" s="54"/>
      <c r="B111" s="29"/>
      <c r="C111" s="49"/>
      <c r="D111" s="49"/>
      <c r="E111" s="29"/>
      <c r="F111" s="29"/>
      <c r="G111" s="29"/>
      <c r="H111" s="29"/>
      <c r="I111" s="29"/>
      <c r="J111" s="29"/>
      <c r="K111" s="29"/>
      <c r="L111" s="29"/>
    </row>
    <row r="112" ht="14.25" customHeight="1">
      <c r="A112" s="54"/>
      <c r="B112" s="29"/>
      <c r="C112" s="49"/>
      <c r="D112" s="49"/>
      <c r="E112" s="29"/>
      <c r="F112" s="29"/>
      <c r="G112" s="29"/>
      <c r="H112" s="29"/>
      <c r="I112" s="29"/>
      <c r="J112" s="29"/>
      <c r="K112" s="29"/>
      <c r="L112" s="29"/>
    </row>
    <row r="113" ht="14.25" customHeight="1">
      <c r="A113" s="34" t="s">
        <v>15</v>
      </c>
      <c r="B113" s="40">
        <f>SUM(B105:B112)</f>
        <v>0.2798611111</v>
      </c>
      <c r="C113" s="45"/>
      <c r="D113" s="56">
        <f>SUM(D105:D112)</f>
        <v>0.7815856481</v>
      </c>
      <c r="E113" s="46"/>
      <c r="F113" s="40">
        <f>SUM(F105:F112)</f>
        <v>0.2756944444</v>
      </c>
      <c r="G113" s="46"/>
      <c r="H113" s="46"/>
      <c r="I113" s="46"/>
      <c r="J113" s="40">
        <f>SUM(J105:J112)</f>
        <v>0.5817361111</v>
      </c>
      <c r="K113" s="46"/>
      <c r="L113" s="36">
        <f>SUM(L105:L112)</f>
        <v>0.3125</v>
      </c>
    </row>
    <row r="114" ht="14.25" customHeight="1">
      <c r="A114" s="24"/>
      <c r="B114" s="21" t="s">
        <v>30</v>
      </c>
      <c r="C114" s="26"/>
      <c r="D114" s="21" t="s">
        <v>2</v>
      </c>
      <c r="E114" s="26"/>
      <c r="F114" s="21" t="s">
        <v>3</v>
      </c>
      <c r="G114" s="26"/>
      <c r="H114" s="21" t="s">
        <v>4</v>
      </c>
      <c r="I114" s="26"/>
      <c r="J114" s="21" t="s">
        <v>5</v>
      </c>
      <c r="K114" s="26"/>
      <c r="L114" s="21" t="s">
        <v>6</v>
      </c>
    </row>
    <row r="115" ht="14.25" customHeight="1">
      <c r="A115" s="24" t="s">
        <v>16</v>
      </c>
      <c r="B115" s="41" t="s">
        <v>79</v>
      </c>
      <c r="C115" s="26" t="s">
        <v>16</v>
      </c>
      <c r="D115" s="27"/>
      <c r="E115" s="26" t="s">
        <v>16</v>
      </c>
      <c r="F115" s="27"/>
      <c r="G115" s="26" t="s">
        <v>16</v>
      </c>
      <c r="H115" s="27"/>
      <c r="I115" s="26" t="s">
        <v>16</v>
      </c>
      <c r="J115" s="27"/>
      <c r="K115" s="26" t="s">
        <v>16</v>
      </c>
      <c r="L115" s="27"/>
    </row>
    <row r="116" ht="14.25" customHeight="1">
      <c r="A116" s="28" t="s">
        <v>75</v>
      </c>
      <c r="B116" s="9">
        <v>0.2326388888888889</v>
      </c>
      <c r="C116" s="28" t="s">
        <v>80</v>
      </c>
      <c r="D116" s="64">
        <v>0.09930555555555555</v>
      </c>
      <c r="E116" s="54"/>
      <c r="F116" s="54"/>
      <c r="G116" s="65" t="s">
        <v>81</v>
      </c>
      <c r="H116" s="66">
        <v>0.008726851851851852</v>
      </c>
      <c r="I116" s="28" t="s">
        <v>80</v>
      </c>
      <c r="J116" s="64">
        <v>0.09930555555555555</v>
      </c>
      <c r="K116" s="10" t="s">
        <v>76</v>
      </c>
      <c r="L116" s="9">
        <v>0.19444444444444445</v>
      </c>
    </row>
    <row r="117" ht="14.25" customHeight="1">
      <c r="A117" s="28" t="s">
        <v>82</v>
      </c>
      <c r="B117" s="64">
        <v>0.06087962962962963</v>
      </c>
      <c r="C117" s="28" t="s">
        <v>83</v>
      </c>
      <c r="D117" s="67">
        <v>0.05625</v>
      </c>
      <c r="E117" s="28" t="s">
        <v>84</v>
      </c>
      <c r="F117" s="67">
        <v>0.6346296296296297</v>
      </c>
      <c r="G117" s="32" t="s">
        <v>85</v>
      </c>
      <c r="H117" s="67">
        <v>0.014282407407407407</v>
      </c>
      <c r="I117" s="28" t="s">
        <v>83</v>
      </c>
      <c r="J117" s="67">
        <v>0.05625</v>
      </c>
      <c r="K117" s="10" t="s">
        <v>86</v>
      </c>
      <c r="L117" s="9">
        <v>0.1076388888888889</v>
      </c>
    </row>
    <row r="118" ht="14.25" customHeight="1">
      <c r="A118" s="28" t="s">
        <v>64</v>
      </c>
      <c r="B118" s="64">
        <v>0.06527777777777778</v>
      </c>
      <c r="C118" s="28" t="s">
        <v>87</v>
      </c>
      <c r="D118" s="64">
        <v>0.07368055555555555</v>
      </c>
      <c r="E118" s="28" t="s">
        <v>88</v>
      </c>
      <c r="F118" s="67">
        <v>0.04513888888888889</v>
      </c>
      <c r="G118" s="28" t="s">
        <v>89</v>
      </c>
      <c r="H118" s="67">
        <v>0.18760416666666666</v>
      </c>
      <c r="I118" s="28" t="s">
        <v>87</v>
      </c>
      <c r="J118" s="64">
        <v>0.07368055555555555</v>
      </c>
      <c r="K118" s="54"/>
      <c r="L118" s="54"/>
    </row>
    <row r="119" ht="14.25" customHeight="1">
      <c r="A119" s="54"/>
      <c r="B119" s="54"/>
      <c r="C119" s="54"/>
      <c r="D119" s="54"/>
      <c r="E119" s="28" t="s">
        <v>88</v>
      </c>
      <c r="F119" s="67">
        <v>0.225</v>
      </c>
      <c r="G119" s="28" t="s">
        <v>90</v>
      </c>
      <c r="H119" s="67">
        <v>0.08680555555555555</v>
      </c>
      <c r="I119" s="28" t="s">
        <v>89</v>
      </c>
      <c r="J119" s="67">
        <v>0.18760416666666666</v>
      </c>
      <c r="K119" s="54"/>
      <c r="L119" s="54"/>
    </row>
    <row r="120" ht="14.25" customHeight="1">
      <c r="A120" s="54"/>
      <c r="B120" s="54"/>
      <c r="C120" s="54"/>
      <c r="D120" s="54"/>
      <c r="E120" s="28" t="s">
        <v>88</v>
      </c>
      <c r="F120" s="67">
        <v>0.2590277777777778</v>
      </c>
      <c r="G120" s="28" t="s">
        <v>89</v>
      </c>
      <c r="H120" s="67">
        <v>0.13541666666666666</v>
      </c>
      <c r="I120" s="28" t="s">
        <v>64</v>
      </c>
      <c r="J120" s="64">
        <v>0.06527777777777778</v>
      </c>
      <c r="K120" s="54"/>
      <c r="L120" s="54"/>
    </row>
    <row r="121" ht="14.25" customHeight="1">
      <c r="A121" s="54"/>
      <c r="B121" s="54"/>
      <c r="C121" s="54"/>
      <c r="D121" s="54"/>
      <c r="E121" s="28" t="s">
        <v>88</v>
      </c>
      <c r="F121" s="67">
        <v>0.10972222222222222</v>
      </c>
      <c r="G121" s="28" t="s">
        <v>91</v>
      </c>
      <c r="H121" s="67">
        <v>0.015196759259259259</v>
      </c>
      <c r="I121" s="54"/>
      <c r="J121" s="54"/>
      <c r="K121" s="54"/>
      <c r="L121" s="54"/>
    </row>
    <row r="122" ht="14.25" customHeight="1">
      <c r="A122" s="54"/>
      <c r="B122" s="54"/>
      <c r="C122" s="54"/>
      <c r="D122" s="54"/>
      <c r="E122" s="28" t="s">
        <v>88</v>
      </c>
      <c r="F122" s="67">
        <v>0.10972222222222222</v>
      </c>
      <c r="G122" s="54"/>
      <c r="H122" s="54"/>
      <c r="I122" s="54"/>
      <c r="J122" s="54"/>
      <c r="K122" s="54"/>
      <c r="L122" s="54"/>
    </row>
    <row r="123" ht="14.2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</row>
    <row r="124" ht="14.2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</row>
    <row r="125" ht="14.2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</row>
    <row r="126" ht="14.2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</row>
    <row r="127" ht="14.2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</row>
    <row r="128" ht="14.2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</row>
    <row r="129" ht="14.2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</row>
    <row r="130" ht="14.2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</row>
    <row r="131" ht="14.2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</row>
    <row r="132" ht="14.2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</row>
    <row r="133" ht="14.2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</row>
    <row r="134" ht="14.2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</row>
    <row r="135" ht="14.2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</row>
    <row r="136" ht="14.2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</row>
    <row r="137" ht="14.25" customHeight="1">
      <c r="A137" s="34" t="s">
        <v>15</v>
      </c>
      <c r="B137" s="69">
        <f>SUM(B116:B136)</f>
        <v>0.3587962963</v>
      </c>
      <c r="C137" s="68"/>
      <c r="D137" s="69">
        <f>SUM(D116:D118)</f>
        <v>0.2292361111</v>
      </c>
      <c r="E137" s="68"/>
      <c r="F137" s="70">
        <f>SUM(F117:F135)</f>
        <v>1.383240741</v>
      </c>
      <c r="G137" s="68"/>
      <c r="H137" s="69">
        <f>SUM(H116:H135)</f>
        <v>0.4480324074</v>
      </c>
      <c r="I137" s="68"/>
      <c r="J137" s="69">
        <f>SUM(J116:J136)</f>
        <v>0.4821180556</v>
      </c>
      <c r="K137" s="68"/>
      <c r="L137" s="69">
        <f>SUM(L116:L135)</f>
        <v>0.3020833333</v>
      </c>
    </row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</sheetData>
  <mergeCells count="1">
    <mergeCell ref="A53:L5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5.75"/>
  </cols>
  <sheetData>
    <row r="3">
      <c r="B3" s="71" t="s">
        <v>0</v>
      </c>
      <c r="C3" s="71" t="s">
        <v>92</v>
      </c>
      <c r="D3" s="71" t="s">
        <v>93</v>
      </c>
    </row>
    <row r="4">
      <c r="B4" s="72">
        <v>1.0</v>
      </c>
      <c r="C4" s="73">
        <v>45895.0</v>
      </c>
      <c r="D4" s="73">
        <v>45902.0</v>
      </c>
    </row>
    <row r="5">
      <c r="B5" s="72">
        <v>2.0</v>
      </c>
      <c r="C5" s="73">
        <v>45902.0</v>
      </c>
      <c r="D5" s="73">
        <v>45909.0</v>
      </c>
    </row>
    <row r="6">
      <c r="B6" s="72">
        <v>3.0</v>
      </c>
      <c r="C6" s="73">
        <v>45909.0</v>
      </c>
      <c r="D6" s="73">
        <v>45916.0</v>
      </c>
    </row>
    <row r="7">
      <c r="B7" s="72">
        <v>4.0</v>
      </c>
      <c r="C7" s="73">
        <v>45916.0</v>
      </c>
      <c r="D7" s="73">
        <v>45923.0</v>
      </c>
    </row>
    <row r="8">
      <c r="B8" s="72">
        <v>5.0</v>
      </c>
      <c r="C8" s="73">
        <v>45923.0</v>
      </c>
      <c r="D8" s="73">
        <v>45930.0</v>
      </c>
    </row>
    <row r="9">
      <c r="B9" s="72">
        <v>6.0</v>
      </c>
      <c r="C9" s="73">
        <v>45930.0</v>
      </c>
      <c r="D9" s="73">
        <v>45937.0</v>
      </c>
    </row>
    <row r="10">
      <c r="B10" s="72">
        <v>7.0</v>
      </c>
      <c r="C10" s="73">
        <v>45937.0</v>
      </c>
      <c r="D10" s="74">
        <v>45944.0</v>
      </c>
    </row>
    <row r="11">
      <c r="B11" s="72">
        <v>8.0</v>
      </c>
      <c r="C11" s="74">
        <v>45944.0</v>
      </c>
      <c r="D11" s="74">
        <v>45951.0</v>
      </c>
    </row>
    <row r="12">
      <c r="B12" s="72">
        <v>9.0</v>
      </c>
      <c r="C12" s="74">
        <v>45951.0</v>
      </c>
      <c r="D12" s="74">
        <v>45958.0</v>
      </c>
    </row>
    <row r="13">
      <c r="B13" s="72">
        <v>10.0</v>
      </c>
      <c r="C13" s="74">
        <v>45958.0</v>
      </c>
      <c r="D13" s="73">
        <v>45965.0</v>
      </c>
    </row>
    <row r="14">
      <c r="B14" s="18"/>
      <c r="C14" s="18"/>
      <c r="D14" s="1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2025-10-02T16:00:02Z</dcterms:created>
  <dc:creator>Florencia mendez</dc:creator>
</cp:coreProperties>
</file>