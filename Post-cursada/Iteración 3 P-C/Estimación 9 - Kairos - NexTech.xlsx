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imacion08" sheetId="1" r:id="rId4"/>
    <sheet state="visible" name="Cálculo velocidad de equipo Est" sheetId="2" r:id="rId5"/>
    <sheet state="visible" name="Estimación 08 con velocidad aju" sheetId="3" r:id="rId6"/>
    <sheet state="visible" name="Estimacion08 (Optimista)" sheetId="4" r:id="rId7"/>
    <sheet state="visible" name="Estimacion08 (Pesimista)" sheetId="5" r:id="rId8"/>
  </sheets>
  <definedNames>
    <definedName localSheetId="0" name="solver_eng">1</definedName>
    <definedName localSheetId="1" name="solver_eng">1</definedName>
    <definedName localSheetId="2" name="solver_eng">1</definedName>
    <definedName localSheetId="0" name="solver_neg">1</definedName>
    <definedName localSheetId="1" name="solver_neg">1</definedName>
    <definedName localSheetId="2" name="solver_neg">1</definedName>
    <definedName localSheetId="0" name="solver_num">0</definedName>
    <definedName localSheetId="1" name="solver_num">0</definedName>
    <definedName localSheetId="2" name="solver_num">0</definedName>
    <definedName localSheetId="0" name="solver_typ">1</definedName>
    <definedName localSheetId="1" name="solver_typ">1</definedName>
    <definedName localSheetId="2" name="solver_typ">1</definedName>
    <definedName localSheetId="0" name="solver_val">0</definedName>
    <definedName localSheetId="1" name="solver_val">0</definedName>
    <definedName localSheetId="2" name="solver_val">0</definedName>
    <definedName localSheetId="0" name="solver_ver">3</definedName>
    <definedName localSheetId="1" name="solver_ver">3</definedName>
    <definedName localSheetId="2" name="solver_ver">3</definedName>
    <definedName localSheetId="3" name="solver_opt">'Estimacion08 (Optimista)'!$D$66</definedName>
    <definedName localSheetId="2" name="solver_opt">'Estimación 08 con velocidad aju'!$D$70</definedName>
    <definedName localSheetId="1" name="solver_opt">'Cálculo velocidad de equipo Est'!$D$74</definedName>
    <definedName localSheetId="0" name="solver_opt">Estimacion08!$D$70</definedName>
    <definedName localSheetId="4" name="solver_opt">'Estimacion08 (Pesimista)'!$D$67</definedName>
  </definedNames>
  <calcPr/>
  <extLst>
    <ext uri="GoogleSheetsCustomDataVersion2">
      <go:sheetsCustomData xmlns:go="http://customooxmlschemas.google.com/" r:id="rId9" roundtripDataChecksum="qpaOZq6N8mD+txGnv6TvRGlbDePDtz26W4QnQR149E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8">
      <text>
        <t xml:space="preserve">======
ID#AAAA4EXGEY4
Autor    (2023-08-29 20:18:46)
Evalúa si los analistas han sido capaces de mantener estables los requerimientos en el pasado, minimizando los cambios del software.</t>
      </text>
    </comment>
    <comment authorId="0" ref="C15">
      <text>
        <t xml:space="preserve">======
ID#AAAA4EXGEY0
Ejemplo    (2023-08-29 20:18:46)
contar transacciones
Flujo.Ppal.: transacciones 1, 2, 3, 4. 
Flujo Alt.: 0 transaccioines. 
Excepciones.: N/A -&gt; 0 transacciones
-&gt; suma = 4 transacciones</t>
      </text>
    </comment>
    <comment authorId="0" ref="B47">
      <text>
        <t xml:space="preserve">======
ID#AAAA4EXGEYs
Autor    (2023-08-29 20:18:46)
¿Se requiere formación específica para los Usuarios?</t>
      </text>
    </comment>
    <comment authorId="0" ref="B42">
      <text>
        <t xml:space="preserve">======
ID#AAAA4EXGEYw
Autor    (2023-08-29 20:18:46)
¿La aplicación, debe funcionar en más de una plataforma?</t>
      </text>
    </comment>
    <comment authorId="0" ref="B36">
      <text>
        <t xml:space="preserve">======
ID#AAAA4EXGEYo
Autor    (2023-08-29 20:18:46)
¿Cuál es la importancia del tiempo de respuesta de la aplicación para el usuario final?</t>
      </text>
    </comment>
    <comment authorId="0" ref="B79">
      <text>
        <t xml:space="preserve">======
ID#AAAA4EXGEYk
Autor    (2023-08-29 20:18:46)
Análisis/Diseño/Pruebas/Sobrecarga</t>
      </text>
    </comment>
    <comment authorId="0" ref="B43">
      <text>
        <t xml:space="preserve">======
ID#AAAA4EXGEYg
Autor    (2023-08-29 20:18:46)
¿El cliente requiere que la aplicación se pueda cambiar fácilmente en el futuro?</t>
      </text>
    </comment>
    <comment authorId="0" ref="B60">
      <text>
        <t xml:space="preserve">======
ID#AAAA4EXGEYc
Autor    (2023-08-29 20:18:46)
Este es un factor con signo opuesto a los factores E6 y anteriores. Cuanto mayor la evaluación, peor el resultado.</t>
      </text>
    </comment>
    <comment authorId="0" ref="B41">
      <text>
        <t xml:space="preserve">======
ID#AAAA4EXGEYY
Autor    (2023-08-29 20:18:46)
¿Hay requerimientos especiales respecto de la facilidad de uso?</t>
      </text>
    </comment>
    <comment authorId="0" ref="B53">
      <text>
        <t xml:space="preserve">======
ID#AAAA4EXGEYU
Autor    (2023-08-29 20:18:46)
Debe reflejar el hecho de que el equipo conoce el proceso y el lenguaje de modelado (p.ej.: RUP, UML). Puede ser cualquier otro proceso.</t>
      </text>
    </comment>
    <comment authorId="0" ref="B39">
      <text>
        <t xml:space="preserve">======
ID#AAAA4EXGEYQ
Autor    (2023-08-29 20:18:46)
¿La aplicación requiere diseñarse para ser altamente reusable?</t>
      </text>
    </comment>
    <comment authorId="0" ref="B59">
      <text>
        <t xml:space="preserve">======
ID#AAAA4EXGEYM
Autor    (2023-08-29 20:18:46)
Este es un factor con signo opuesto a los factores E6 y anteriores. Cuanto mayor la evaluación, peor el resultado.</t>
      </text>
    </comment>
    <comment authorId="0" ref="C7">
      <text>
        <t xml:space="preserve">======
ID#AAAA4EXGEYI
Autor    (2023-08-29 20:18:46)
Complejo: =3
  - Operador a través de Interfaz Gráfica de Usuario (GUI)
Intermedio: -&gt; 2 
  - Otro sistema a través de un protocolo (TCP/IP, HTTP, SOAP)
  - Operador humano a través de interfaz de comandos de texto (CLI)
Simple: -&gt; 1
  - Otro sistema a través de una Interfaz de Programación de Aplicaciones (API)</t>
      </text>
    </comment>
    <comment authorId="0" ref="B76">
      <text>
        <t xml:space="preserve">======
ID#AAAA4EXGEYE
Autor    (2023-08-29 20:18:46)
Esta distribución es una referencia. Proyecto a proyecto debe actualizarse mediante  ESTADISTICAS.</t>
      </text>
    </comment>
    <comment authorId="0" ref="G70">
      <text>
        <t xml:space="preserve">======
ID#AAAA4EXGEYA
Autor    (2023-08-29 20:18:46)
Este valor lo debe rellenar el propio estimador mediante una medición pequeña que se use como muestra. 
Como valor orientativo
Java15 (07/2020), muy principiante, autodidacta -&gt;2.5hh/AUCP
Es una Estadística que debe actualizarse proyecto a proyecto.</t>
      </text>
    </comment>
    <comment authorId="0" ref="B54">
      <text>
        <t xml:space="preserve">======
ID#AAAA4EXGEX8
Autor    (2023-08-29 20:18:46)
¿Ya trabajado el equipo en el area (dominio) de la aplicación?</t>
      </text>
    </comment>
    <comment authorId="0" ref="B37">
      <text>
        <t xml:space="preserve">======
ID#AAAA4EXGEX4
Autor    (2023-08-29 20:18:46)
¿La aplicacion está diseñada para que el usuario incremente SU eficiencia (no solo cumpla su cometido)?</t>
      </text>
    </comment>
    <comment authorId="0" ref="B55">
      <text>
        <t xml:space="preserve">======
ID#AAAA4EXGEXw
Autor    (2023-08-29 20:18:46)
Se refiere exclusivamente a la experiencia en el análisis, modelado, diseño y progrmación  mediante el paradigma de OO.</t>
      </text>
    </comment>
    <comment authorId="0" ref="B88">
      <text>
        <t xml:space="preserve">======
ID#AAAA4EXGEX0
Autor    (2023-08-29 20:18:46)
Lo debe sugerir el estimador.</t>
      </text>
    </comment>
    <comment authorId="0" ref="B45">
      <text>
        <t xml:space="preserve">======
ID#AAAA4EXGEXs
Autor    (2023-08-29 20:18:46)
¿Es suficiente con las prestaciones de seguridad normales, o hace falta algo especial?</t>
      </text>
    </comment>
    <comment authorId="0" ref="B57">
      <text>
        <t xml:space="preserve">======
ID#AAAA4EXGEXo
Autor    (2023-08-29 20:18:46)
Motivación del equipo.</t>
      </text>
    </comment>
    <comment authorId="0" ref="B46">
      <text>
        <t xml:space="preserve">======
ID#AAAA4EXGEXk
Autor    (2023-08-29 20:18:46)
¿Nuestro código usará componentes COTS, librerías frameworks ya desarrollados? Si así fuera, reducirá la carga de trabajo de desarrollo.</t>
      </text>
    </comment>
    <comment authorId="0" ref="B35">
      <text>
        <t xml:space="preserve">======
ID#AAAA4EXGEXg
Autor    (2023-08-29 20:18:46)
¿Arquitectura centralizada o distribuida?</t>
      </text>
    </comment>
    <comment authorId="0" ref="B44">
      <text>
        <t xml:space="preserve">======
ID#AAAA4EXGEXc
Autor    (2023-08-29 20:18:46)
¿Hace falta consideraciones especiales para el acceso concurrente (paralelo) a datos y otros recursos?</t>
      </text>
    </comment>
    <comment authorId="0" ref="B56">
      <text>
        <t xml:space="preserve">======
ID#AAAA4EXGEXY
Autor    (2023-08-29 20:18:46)
Se refiere a la experiencia en el análisis de requerimientos y modelado orientado a objetos del Analista Principal.</t>
      </text>
    </comment>
    <comment authorId="0" ref="B40">
      <text>
        <t xml:space="preserve">======
ID#AAAA4EXGEXU
Autor    (2023-08-29 20:18:46)
¿La aplicación debe ser de fácil instalación (para usuarios sin capacidad técnica) o no?</t>
      </text>
    </comment>
    <comment authorId="0" ref="B38">
      <text>
        <t xml:space="preserve">======
ID#AAAA4EXGEXQ
Autor    (2023-08-29 20:18:46)
¿La aplicación requiere de algoritmos complejos?</t>
      </text>
    </comment>
    <comment authorId="0" ref="B85">
      <text>
        <t xml:space="preserve">======
ID#AAABtQuPeUs
Autor    (2023-08-29 20:18:46)
Análisis/Diseño/Pruebas/Sobrecarga</t>
      </text>
    </comment>
    <comment authorId="0" ref="B82">
      <text>
        <t xml:space="preserve">======
ID#AAABtQuPeXQ
Autor    (2023-08-29 20:18:46)
Esta distribución es una referencia. Proyecto a proyecto debe actualizarse mediante  ESTADISTICAS.</t>
      </text>
    </comment>
  </commentList>
  <extLst>
    <ext uri="GoogleSheetsCustomDataVersion2">
      <go:sheetsCustomData xmlns:go="http://customooxmlschemas.google.com/" r:id="rId1" roundtripDataSignature="AMtx7mgSgD/9MLqQ+WEZJkoPvVGumcCA2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72">
      <text>
        <t xml:space="preserve">======
ID#AAABtQuPeV0
Autor    (2023-08-29 20:18:46)
Esta distribución es una referencia. Proyecto a proyecto debe actualizarse mediante  ESTADISTICAS.</t>
      </text>
    </comment>
    <comment authorId="0" ref="B53">
      <text>
        <t xml:space="preserve">======
ID#AAABtQuPeXo
Autor    (2023-08-29 20:18:46)
Motivación del equipo.</t>
      </text>
    </comment>
    <comment authorId="0" ref="B38">
      <text>
        <t xml:space="preserve">======
ID#AAABtQuPeXw
Autor    (2023-08-29 20:18:46)
¿La aplicación, debe funcionar en más de una plataforma?</t>
      </text>
    </comment>
    <comment authorId="0" ref="B49">
      <text>
        <t xml:space="preserve">======
ID#AAABtQuPeUY
Autor    (2023-08-29 20:18:46)
Debe reflejar el hecho de que el equipo conoce el proceso y el lenguaje de modelado (p.ej.: RUP, UML). Puede ser cualquier otro proceso.</t>
      </text>
    </comment>
    <comment authorId="0" ref="B37">
      <text>
        <t xml:space="preserve">======
ID#AAABtQuPeVI
Autor    (2023-08-29 20:18:46)
¿Hay requerimientos especiales respecto de la facilidad de uso?</t>
      </text>
    </comment>
    <comment authorId="0" ref="B43">
      <text>
        <t xml:space="preserve">======
ID#AAABtQuPeVE
Autor    (2023-08-29 20:18:46)
¿Se requiere formación específica para los Usuarios?</t>
      </text>
    </comment>
    <comment authorId="0" ref="B56">
      <text>
        <t xml:space="preserve">======
ID#AAABtQuPeVQ
Autor    (2023-08-29 20:18:46)
Este es un factor con signo opuesto a los factores E6 y anteriores. Cuanto mayor la evaluación, peor el resultado.</t>
      </text>
    </comment>
    <comment authorId="0" ref="B51">
      <text>
        <t xml:space="preserve">======
ID#AAABtQuPeW0
Autor    (2023-08-29 20:18:46)
Se refiere exclusivamente a la experiencia en el análisis, modelado, diseño y progrmación  mediante el paradigma de OO.</t>
      </text>
    </comment>
    <comment authorId="0" ref="B50">
      <text>
        <t xml:space="preserve">======
ID#AAABtQuPeVY
Autor    (2023-08-29 20:18:46)
¿Ya trabajado el equipo en el area (dominio) de la aplicación?</t>
      </text>
    </comment>
    <comment authorId="0" ref="B41">
      <text>
        <t xml:space="preserve">======
ID#AAABtQuPeVc
Autor    (2023-08-29 20:18:46)
¿Es suficiente con las prestaciones de seguridad normales, o hace falta algo especial?</t>
      </text>
    </comment>
    <comment authorId="0" ref="B55">
      <text>
        <t xml:space="preserve">======
ID#AAABtQuPeWQ
Autor    (2023-08-29 20:18:46)
Este es un factor con signo opuesto a los factores E6 y anteriores. Cuanto mayor la evaluación, peor el resultado.</t>
      </text>
    </comment>
    <comment authorId="0" ref="B31">
      <text>
        <t xml:space="preserve">======
ID#AAABtQuPeX0
Autor    (2023-08-29 20:18:46)
¿Arquitectura centralizada o distribuida?</t>
      </text>
    </comment>
    <comment authorId="0" ref="B54">
      <text>
        <t xml:space="preserve">======
ID#AAABtQuPeVo
Autor    (2023-08-29 20:18:46)
Evalúa si los analistas han sido capaces de mantener estables los requerimientos en el pasado, minimizando los cambios del software.</t>
      </text>
    </comment>
    <comment authorId="0" ref="B35">
      <text>
        <t xml:space="preserve">======
ID#AAABtQuPeWM
Autor    (2023-08-29 20:18:46)
¿La aplicación requiere diseñarse para ser altamente reusable?</t>
      </text>
    </comment>
    <comment authorId="0" ref="B78">
      <text>
        <t xml:space="preserve">======
ID#AAABtQuPeVk
Autor    (2023-08-29 20:18:46)
Esta distribución es una referencia. Proyecto a proyecto debe actualizarse mediante  ESTADISTICAS.</t>
      </text>
    </comment>
    <comment authorId="0" ref="B84">
      <text>
        <t xml:space="preserve">======
ID#AAABtQuPeWY
Autor    (2023-08-29 20:18:46)
Lo debe sugerir el estimador.</t>
      </text>
    </comment>
    <comment authorId="0" ref="B81">
      <text>
        <t xml:space="preserve">======
ID#AAABtQuPeWU
Autor    (2023-08-29 20:18:46)
Análisis/Diseño/Pruebas/Sobrecarga</t>
      </text>
    </comment>
    <comment authorId="0" ref="B40">
      <text>
        <t xml:space="preserve">======
ID#AAABtQuPeX4
Autor    (2023-08-29 20:18:46)
¿Hace falta consideraciones especiales para el acceso concurrente (paralelo) a datos y otros recursos?</t>
      </text>
    </comment>
    <comment authorId="0" ref="B75">
      <text>
        <t xml:space="preserve">======
ID#AAABtQuPeVs
Autor    (2023-08-29 20:18:46)
Análisis/Diseño/Pruebas/Sobrecarga</t>
      </text>
    </comment>
    <comment authorId="0" ref="B32">
      <text>
        <t xml:space="preserve">======
ID#AAABtQuPeWg
Autor    (2023-08-29 20:18:46)
¿Cuál es la importancia del tiempo de respuesta de la aplicación para el usuario final?</t>
      </text>
    </comment>
    <comment authorId="0" ref="G66">
      <text>
        <t xml:space="preserve">======
ID#AAABtQuPeXI
Autor    (2023-08-29 20:18:46)
Este valor lo debe rellenar el propio estimador mediante una medición pequeña que se use como muestra. 
Como valor orientativo
Java15 (07/2020), muy principiante, autodidacta -&gt;2.5hh/AUCP
Es una Estadística que debe actualizarse proyecto a proyecto.</t>
      </text>
    </comment>
    <comment authorId="0" ref="C14">
      <text>
        <t xml:space="preserve">======
ID#AAABtQuPeWc
Ejemplo    (2023-08-29 20:18:46)
contar transacciones
Flujo.Ppal.: transacciones 1, 2, 3, 4. 
Flujo Alt.: 0 transaccioines. 
Excepciones.: N/A -&gt; 0 transacciones
-&gt; suma = 4 transacciones</t>
      </text>
    </comment>
    <comment authorId="0" ref="B52">
      <text>
        <t xml:space="preserve">======
ID#AAABtQuPeU0
Autor    (2023-08-29 20:18:46)
Se refiere a la experiencia en el análisis de requerimientos y modelado orientado a objetos del Analista Principal.</t>
      </text>
    </comment>
    <comment authorId="0" ref="C7">
      <text>
        <t xml:space="preserve">======
ID#AAABtQuPeWk
Autor    (2023-08-29 20:18:46)
Complejo: =3
  - Operador a través de Interfaz Gráfica de Usuario (GUI)
Intermedio: -&gt; 2 
  - Otro sistema a través de un protocolo (TCP/IP, HTTP, SOAP)
  - Operador humano a través de interfaz de comandos de texto (CLI)
Simple: -&gt; 1
  - Otro sistema a través de una Interfaz de Programación de Aplicaciones (API)</t>
      </text>
    </comment>
    <comment authorId="0" ref="B33">
      <text>
        <t xml:space="preserve">======
ID#AAABtQuPeU4
Autor    (2023-08-29 20:18:46)
¿La aplicacion está diseñada para que el usuario incremente SU eficiencia (no solo cumpla su cometido)?</t>
      </text>
    </comment>
    <comment authorId="0" ref="B36">
      <text>
        <t xml:space="preserve">======
ID#AAABtQuPeWs
Autor    (2023-08-29 20:18:46)
¿La aplicación debe ser de fácil instalación (para usuarios sin capacidad técnica) o no?</t>
      </text>
    </comment>
    <comment authorId="0" ref="B42">
      <text>
        <t xml:space="preserve">======
ID#AAABtQuPeXU
Autor    (2023-08-29 20:18:46)
¿Nuestro código usará componentes COTS, librerías frameworks ya desarrollados? Si así fuera, reducirá la carga de trabajo de desarrollo.</t>
      </text>
    </comment>
    <comment authorId="0" ref="B39">
      <text>
        <t xml:space="preserve">======
ID#AAABtQuPeXk
Autor    (2023-08-29 20:18:46)
¿El cliente requiere que la aplicación se pueda cambiar fácilmente en el futuro?</t>
      </text>
    </comment>
    <comment authorId="0" ref="B34">
      <text>
        <t xml:space="preserve">======
ID#AAABtQuPeYE
Autor    (2023-08-29 20:18:46)
¿La aplicación requiere de algoritmos complejos?</t>
      </text>
    </comment>
  </commentList>
  <extLst>
    <ext uri="GoogleSheetsCustomDataVersion2">
      <go:sheetsCustomData xmlns:go="http://customooxmlschemas.google.com/" r:id="rId1" roundtripDataSignature="AMtx7mjTZbZ9PpVQ6iJUh4l9ybedsdr1g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6">
      <text>
        <t xml:space="preserve">======
ID#AAABtQuPeXs
Autor    (2023-08-29 20:18:46)
¿La aplicación requiere diseñarse para ser altamente reusable?</t>
      </text>
    </comment>
    <comment authorId="0" ref="G67">
      <text>
        <t xml:space="preserve">======
ID#AAABtQuPeV8
Autor    (2023-08-29 20:18:46)
Este valor lo debe rellenar el propio estimador mediante una medición pequeña que se use como muestra. 
Como valor orientativo
Java15 (07/2020), muy principiante, autodidacta -&gt;2.5hh/AUCP
Es una Estadística que debe actualizarse proyecto a proyecto.</t>
      </text>
    </comment>
    <comment authorId="0" ref="C7">
      <text>
        <t xml:space="preserve">======
ID#AAABtQuPeV4
Autor    (2023-08-29 20:18:46)
Complejo: =3
  - Operador a través de Interfaz Gráfica de Usuario (GUI)
Intermedio: -&gt; 2 
  - Otro sistema a través de un protocolo (TCP/IP, HTTP, SOAP)
  - Operador humano a través de interfaz de comandos de texto (CLI)
Simple: -&gt; 1
  - Otro sistema a través de una Interfaz de Programación de Aplicaciones (API)</t>
      </text>
    </comment>
    <comment authorId="0" ref="B35">
      <text>
        <t xml:space="preserve">======
ID#AAABtQuPeVA
Autor    (2023-08-29 20:18:46)
¿La aplicación requiere de algoritmos complejos?</t>
      </text>
    </comment>
    <comment authorId="0" ref="B53">
      <text>
        <t xml:space="preserve">======
ID#AAABtQuPeUg
Autor    (2023-08-29 20:18:46)
Se refiere a la experiencia en el análisis de requerimientos y modelado orientado a objetos del Analista Principal.</t>
      </text>
    </comment>
    <comment authorId="0" ref="B33">
      <text>
        <t xml:space="preserve">======
ID#AAABtQuPeUc
Autor    (2023-08-29 20:18:46)
¿Cuál es la importancia del tiempo de respuesta de la aplicación para el usuario final?</t>
      </text>
    </comment>
    <comment authorId="0" ref="B56">
      <text>
        <t xml:space="preserve">======
ID#AAABtQuPeUo
Autor    (2023-08-29 20:18:46)
Este es un factor con signo opuesto a los factores E6 y anteriores. Cuanto mayor la evaluación, peor el resultado.</t>
      </text>
    </comment>
    <comment authorId="0" ref="B40">
      <text>
        <t xml:space="preserve">======
ID#AAABtQuPeUk
Autor    (2023-08-29 20:18:46)
¿El cliente requiere que la aplicación se pueda cambiar fácilmente en el futuro?</t>
      </text>
    </comment>
    <comment authorId="0" ref="B51">
      <text>
        <t xml:space="preserve">======
ID#AAABtQuPeVM
Autor    (2023-08-29 20:18:46)
¿Ya trabajado el equipo en el area (dominio) de la aplicación?</t>
      </text>
    </comment>
    <comment authorId="0" ref="B43">
      <text>
        <t xml:space="preserve">======
ID#AAABtQuPeUw
Autor    (2023-08-29 20:18:46)
¿Nuestro código usará componentes COTS, librerías frameworks ya desarrollados? Si así fuera, reducirá la carga de trabajo de desarrollo.</t>
      </text>
    </comment>
    <comment authorId="0" ref="C15">
      <text>
        <t xml:space="preserve">======
ID#AAABtQuPeW8
Ejemplo    (2023-08-29 20:18:46)
contar transacciones
Flujo.Ppal.: transacciones 1, 2, 3, 4. 
Flujo Alt.: 0 transaccioines. 
Excepciones.: N/A -&gt; 0 transacciones
-&gt; suma = 4 transacciones</t>
      </text>
    </comment>
    <comment authorId="0" ref="B73">
      <text>
        <t xml:space="preserve">======
ID#AAABtQuPeVU
Autor    (2023-08-29 20:18:46)
Esta distribución es una referencia. Proyecto a proyecto debe actualizarse mediante  ESTADISTICAS.</t>
      </text>
    </comment>
    <comment authorId="0" ref="B54">
      <text>
        <t xml:space="preserve">======
ID#AAABtQuPeW4
Autor    (2023-08-29 20:18:46)
Motivación del equipo.</t>
      </text>
    </comment>
    <comment authorId="0" ref="B52">
      <text>
        <t xml:space="preserve">======
ID#AAABtQuPeWA
Autor    (2023-08-29 20:18:46)
Se refiere exclusivamente a la experiencia en el análisis, modelado, diseño y progrmación  mediante el paradigma de OO.</t>
      </text>
    </comment>
    <comment authorId="0" ref="B55">
      <text>
        <t xml:space="preserve">======
ID#AAABtQuPeWI
Autor    (2023-08-29 20:18:46)
Evalúa si los analistas han sido capaces de mantener estables los requerimientos en el pasado, minimizando los cambios del software.</t>
      </text>
    </comment>
    <comment authorId="0" ref="B76">
      <text>
        <t xml:space="preserve">======
ID#AAABtQuPeVg
Autor    (2023-08-29 20:18:46)
Análisis/Diseño/Pruebas/Sobrecarga</t>
      </text>
    </comment>
    <comment authorId="0" ref="B79">
      <text>
        <t xml:space="preserve">======
ID#AAABtQuPeWE
Autor    (2023-08-29 20:18:46)
Esta distribución es una referencia. Proyecto a proyecto debe actualizarse mediante  ESTADISTICAS.</t>
      </text>
    </comment>
    <comment authorId="0" ref="B38">
      <text>
        <t xml:space="preserve">======
ID#AAABtQuPeX8
Autor    (2023-08-29 20:18:46)
¿Hay requerimientos especiales respecto de la facilidad de uso?</t>
      </text>
    </comment>
    <comment authorId="0" ref="B44">
      <text>
        <t xml:space="preserve">======
ID#AAABtQuPeVw
Autor    (2023-08-29 20:18:46)
¿Se requiere formación específica para los Usuarios?</t>
      </text>
    </comment>
    <comment authorId="0" ref="B37">
      <text>
        <t xml:space="preserve">======
ID#AAABtQuPeXA
Autor    (2023-08-29 20:18:46)
¿La aplicación debe ser de fácil instalación (para usuarios sin capacidad técnica) o no?</t>
      </text>
    </comment>
    <comment authorId="0" ref="B85">
      <text>
        <t xml:space="preserve">======
ID#AAABtQuPeXE
Autor    (2023-08-29 20:18:46)
Lo debe sugerir el estimador.</t>
      </text>
    </comment>
    <comment authorId="0" ref="B57">
      <text>
        <t xml:space="preserve">======
ID#AAABtQuPeWo
Autor    (2023-08-29 20:18:46)
Este es un factor con signo opuesto a los factores E6 y anteriores. Cuanto mayor la evaluación, peor el resultado.</t>
      </text>
    </comment>
    <comment authorId="0" ref="B32">
      <text>
        <t xml:space="preserve">======
ID#AAABtQuPeXM
Autor    (2023-08-29 20:18:46)
¿Arquitectura centralizada o distribuida?</t>
      </text>
    </comment>
    <comment authorId="0" ref="B34">
      <text>
        <t xml:space="preserve">======
ID#AAABtQuPeU8
Autor    (2023-08-29 20:18:46)
¿La aplicacion está diseñada para que el usuario incremente SU eficiencia (no solo cumpla su cometido)?</t>
      </text>
    </comment>
    <comment authorId="0" ref="B39">
      <text>
        <t xml:space="preserve">======
ID#AAABtQuPeWw
Autor    (2023-08-29 20:18:46)
¿La aplicación, debe funcionar en más de una plataforma?</t>
      </text>
    </comment>
    <comment authorId="0" ref="B82">
      <text>
        <t xml:space="preserve">======
ID#AAABtQuPeXY
Autor    (2023-08-29 20:18:46)
Análisis/Diseño/Pruebas/Sobrecarga</t>
      </text>
    </comment>
    <comment authorId="0" ref="B50">
      <text>
        <t xml:space="preserve">======
ID#AAABtQuPeXc
Autor    (2023-08-29 20:18:46)
Debe reflejar el hecho de que el equipo conoce el proceso y el lenguaje de modelado (p.ej.: RUP, UML). Puede ser cualquier otro proceso.</t>
      </text>
    </comment>
    <comment authorId="0" ref="B41">
      <text>
        <t xml:space="preserve">======
ID#AAABtQuPeYA
Autor    (2023-08-29 20:18:46)
¿Hace falta consideraciones especiales para el acceso concurrente (paralelo) a datos y otros recursos?</t>
      </text>
    </comment>
    <comment authorId="0" ref="B42">
      <text>
        <t xml:space="preserve">======
ID#AAABtQuPeXg
Autor    (2023-08-29 20:18:46)
¿Es suficiente con las prestaciones de seguridad normales, o hace falta algo especial?</t>
      </text>
    </comment>
  </commentList>
  <extLst>
    <ext uri="GoogleSheetsCustomDataVersion2">
      <go:sheetsCustomData xmlns:go="http://customooxmlschemas.google.com/" r:id="rId1" roundtripDataSignature="AMtx7mhBpk9VeYeYd7pPQEwx/88Cb7D4tw=="/>
    </ext>
  </extLst>
</comments>
</file>

<file path=xl/sharedStrings.xml><?xml version="1.0" encoding="utf-8"?>
<sst xmlns="http://schemas.openxmlformats.org/spreadsheetml/2006/main" count="818" uniqueCount="180">
  <si>
    <t>ESTIMACIÓN por PUNTOS de CASO de USO</t>
  </si>
  <si>
    <t>Proyecto:</t>
  </si>
  <si>
    <t>Kairos</t>
  </si>
  <si>
    <t>Gestor de Proyecto:</t>
  </si>
  <si>
    <t>Valeria Centurion, Gillermo Escalante, Florencia Mendez, Agustina Maldonado, Gonzalo Ulloa</t>
  </si>
  <si>
    <t>1. PESO DE LOS ACTORES</t>
  </si>
  <si>
    <t>Actor</t>
  </si>
  <si>
    <t>Factor de Peso Actores</t>
  </si>
  <si>
    <t>Descripción</t>
  </si>
  <si>
    <t>Peso</t>
  </si>
  <si>
    <t>Número actores</t>
  </si>
  <si>
    <t>Valor ponderado</t>
  </si>
  <si>
    <t>Líder del Proyecto</t>
  </si>
  <si>
    <t>Complejo</t>
  </si>
  <si>
    <t>Usuario con acceso total al sistema</t>
  </si>
  <si>
    <t>Administrador</t>
  </si>
  <si>
    <t>Usuario con acceso a vistas</t>
  </si>
  <si>
    <t>Miembro</t>
  </si>
  <si>
    <t>Sistema de inicio de sesión que interactua con el sistema</t>
  </si>
  <si>
    <t xml:space="preserve">Peso Total Actores, sin ajustar (UAW) </t>
  </si>
  <si>
    <t>2. PESO DE LOS CU</t>
  </si>
  <si>
    <t>Casos de Uso</t>
  </si>
  <si>
    <t>Comentario</t>
  </si>
  <si>
    <t>Número de transacciones</t>
  </si>
  <si>
    <t>Complejidad</t>
  </si>
  <si>
    <t>CU10: Proponer tarea</t>
  </si>
  <si>
    <t>Intermedio</t>
  </si>
  <si>
    <t>CU11: Aprobar tarea</t>
  </si>
  <si>
    <t xml:space="preserve">Peso Total CU, sin ajustar (UUCW) </t>
  </si>
  <si>
    <t>3. PCU SIN AJUSTE</t>
  </si>
  <si>
    <r>
      <rPr>
        <rFont val="Calibri"/>
        <b/>
        <color theme="1"/>
        <sz val="12.0"/>
      </rPr>
      <t xml:space="preserve">Puntos de CU No Ajustados: </t>
    </r>
    <r>
      <rPr>
        <rFont val="Calibri"/>
        <b/>
        <color rgb="FFFF0000"/>
        <sz val="12.0"/>
      </rPr>
      <t>UUCP = UAW + UUCW</t>
    </r>
  </si>
  <si>
    <t>4. COMPLEJIDAD TECNICA</t>
  </si>
  <si>
    <t>Factores de Peso Técnicos</t>
  </si>
  <si>
    <t>Escala de asignación</t>
  </si>
  <si>
    <t>Características especiales</t>
  </si>
  <si>
    <t>Evaluación</t>
  </si>
  <si>
    <t>Impacto</t>
  </si>
  <si>
    <t>Ver 4.2 Use Case Point Analysis e11</t>
  </si>
  <si>
    <t>T1  Sistema Distribuido</t>
  </si>
  <si>
    <t>0=no importante  5=esencial</t>
  </si>
  <si>
    <t>Para nuestro sistema no es importante</t>
  </si>
  <si>
    <t>Object-Oriented Analysis and Design for Information Systems: Modeling with UML, OCL, and IFML</t>
  </si>
  <si>
    <t>T2  Objetivos de Desempeño o Tiempo de Respuesta</t>
  </si>
  <si>
    <t>Si es importante para el funcionamiento del sistema</t>
  </si>
  <si>
    <t>T3  Eficiencia Usuario Final</t>
  </si>
  <si>
    <t>T4  Procesamiento Interno Complejo</t>
  </si>
  <si>
    <t>Se considera de complejidad media</t>
  </si>
  <si>
    <t>T5  Código Debe Ser Reusable</t>
  </si>
  <si>
    <t>No hace falta</t>
  </si>
  <si>
    <t>T6  Facilidad de Instalación</t>
  </si>
  <si>
    <t>Debe ser fácil de instalar</t>
  </si>
  <si>
    <t>T7  Facilidad de Uso</t>
  </si>
  <si>
    <t>Debe ser fácil de usar para el publico dirigido</t>
  </si>
  <si>
    <t>T8  Portabilidad</t>
  </si>
  <si>
    <t>Necesario para que sea compatible en diversas plataformas</t>
  </si>
  <si>
    <t>T9  Facilidad de Cambio</t>
  </si>
  <si>
    <t>Las funcionalidades son volátiles</t>
  </si>
  <si>
    <t>T10 Concurrencia</t>
  </si>
  <si>
    <t>Es multitarea</t>
  </si>
  <si>
    <t>T11 Incluye Características Especiales de Seguridad</t>
  </si>
  <si>
    <t>La autenticación es necesaria</t>
  </si>
  <si>
    <t>T12 Acceso Directo a Código de Terceros</t>
  </si>
  <si>
    <t>Si interactúa con diferentes sistemas</t>
  </si>
  <si>
    <t>T13 Necesidades de formación para los Usuarios</t>
  </si>
  <si>
    <t>Debera tener capacitacion</t>
  </si>
  <si>
    <r>
      <rPr>
        <rFont val="Calibri"/>
        <b/>
        <color theme="1"/>
        <sz val="12.0"/>
      </rPr>
      <t xml:space="preserve">Factores Técnicos: TF = </t>
    </r>
    <r>
      <rPr>
        <rFont val="Calibri"/>
        <b/>
        <color theme="1"/>
        <sz val="12.0"/>
      </rPr>
      <t xml:space="preserve">∑ </t>
    </r>
    <r>
      <rPr>
        <rFont val="Calibri"/>
        <b/>
        <color theme="1"/>
        <sz val="12.0"/>
      </rPr>
      <t xml:space="preserve">(Peso * Evaluacion ) </t>
    </r>
  </si>
  <si>
    <r>
      <rPr>
        <rFont val="Calibri"/>
        <b/>
        <color theme="1"/>
        <sz val="12.0"/>
      </rPr>
      <t xml:space="preserve">Factor de Complejidad Técnica:  </t>
    </r>
    <r>
      <rPr>
        <rFont val="Calibri"/>
        <b/>
        <color rgb="FFFF0000"/>
        <sz val="12.0"/>
      </rPr>
      <t xml:space="preserve">TCF = 0,06 + 0,01*TC </t>
    </r>
  </si>
  <si>
    <t>5. FACTORES DEL ENTORNO</t>
  </si>
  <si>
    <t>Factores de Peso Ambientales del Equipo</t>
  </si>
  <si>
    <t>Escala de 0 a 5</t>
  </si>
  <si>
    <t>Razón</t>
  </si>
  <si>
    <t>Ver 4.2 Use Case Point Analysis e17</t>
  </si>
  <si>
    <t>E1 Familiaridad con un Proceso Definido</t>
  </si>
  <si>
    <t>0 = sin experiencia, 3=media, 5=experto</t>
  </si>
  <si>
    <t>El equipo tiene conocimientos basicos, logicos en este tipos de proyectos</t>
  </si>
  <si>
    <t>1.5</t>
  </si>
  <si>
    <t>4.5</t>
  </si>
  <si>
    <t>E2 Experiencia en el Dominio de Aplicación</t>
  </si>
  <si>
    <t>El equipo de desarrollo está investigando y avanzando en el dominio de aplicación</t>
  </si>
  <si>
    <t>0.5</t>
  </si>
  <si>
    <t>E3 Experiencia en Orientación a Objetos</t>
  </si>
  <si>
    <t>El equipo cuenta con la experiencia en POO</t>
  </si>
  <si>
    <t>E4 Capacidad de Liderazgo del  Analista Principal</t>
  </si>
  <si>
    <t>El equipo cuenta con habilidades basicas de liderazgo</t>
  </si>
  <si>
    <t>E5 Motivación</t>
  </si>
  <si>
    <t>0=sin, 3=media, 5=alta</t>
  </si>
  <si>
    <t>El equipo esta dispuesto</t>
  </si>
  <si>
    <t>E6 Requerimientos Estables</t>
  </si>
  <si>
    <t>0=extremadamente inestable, 5=no cambian</t>
  </si>
  <si>
    <t>Los requerimientos son un poco estables</t>
  </si>
  <si>
    <t>E7 Miembros a Tiempo Parcial</t>
  </si>
  <si>
    <t>0=0% tiempo parcial, 1=h/10% t. parcial, 2=h/20% t. parcial, 3=h/40% t. parcial, 4=h/60% t. parcial, 5= más de 60% t. parcial</t>
  </si>
  <si>
    <t>Todos los miembros trabajaran a tiempo parcial</t>
  </si>
  <si>
    <t>E8 Dificultad con el lenguaje de Programación</t>
  </si>
  <si>
    <t>0=todos miembros muy experimentados. 1= Mayoría +2años experiencia. 2. Todos +18 meses experiencia 3. Mayoría +18 meses experiencia 4. Pocos hasta 1 año experiencia 5. Ninguno experiencia</t>
  </si>
  <si>
    <t>Se empezó a investigar y poner en práctica el framework angular</t>
  </si>
  <si>
    <t xml:space="preserve">Factores Ambientales: EF = ∑ (Peso * Evaluacion ) </t>
  </si>
  <si>
    <r>
      <rPr>
        <rFont val="Calibri"/>
        <b/>
        <color theme="1"/>
        <sz val="12.0"/>
      </rPr>
      <t xml:space="preserve">Factor de Complejidad Ambiental: </t>
    </r>
    <r>
      <rPr>
        <rFont val="Calibri"/>
        <b/>
        <color rgb="FFFF0000"/>
        <sz val="12.0"/>
      </rPr>
      <t>ECF = 1.4 + (-0.03*EF)</t>
    </r>
  </si>
  <si>
    <t>FPA desfavorables</t>
  </si>
  <si>
    <t>6. PCU AJUSTADOS</t>
  </si>
  <si>
    <r>
      <rPr>
        <rFont val="Calibri"/>
        <b/>
        <color theme="1"/>
        <sz val="12.0"/>
      </rPr>
      <t xml:space="preserve">Puntos de Casos de Uso Ajustados: AUCP = </t>
    </r>
    <r>
      <rPr>
        <rFont val="Calibri"/>
        <b/>
        <color rgb="FFFF0000"/>
        <sz val="12.0"/>
      </rPr>
      <t>UUCP * TCF * ECF</t>
    </r>
  </si>
  <si>
    <t>7. ESFUERZO CODIFICACION</t>
  </si>
  <si>
    <t>h-h / AUCP: Karner</t>
  </si>
  <si>
    <t>h-h / AUCP: Schneider &amp; Winters</t>
  </si>
  <si>
    <t>h-h / AUCP: Estadística propia</t>
  </si>
  <si>
    <t>h-h/UCP: Velocidad propia</t>
  </si>
  <si>
    <t>Esfuerzo</t>
  </si>
  <si>
    <t>Esfuerzo (h-h)</t>
  </si>
  <si>
    <t>Dedicación Diaria (hs)</t>
  </si>
  <si>
    <t>Esfuerzo (mes-h)</t>
  </si>
  <si>
    <t>8a. ESFUERZO TOTAL</t>
  </si>
  <si>
    <t>Distribución Esfuerzo por Tarea (expresado en h-h)</t>
  </si>
  <si>
    <t>Actividad</t>
  </si>
  <si>
    <t>Porcentaje</t>
  </si>
  <si>
    <t>Karner
(h-h)</t>
  </si>
  <si>
    <t>Sch&amp;Win
(h-h)</t>
  </si>
  <si>
    <t>Propia
(h-h)</t>
  </si>
  <si>
    <t>Codificación</t>
  </si>
  <si>
    <t>Actividades restantes</t>
  </si>
  <si>
    <t>8b. ESFUERZO TOTAL</t>
  </si>
  <si>
    <t>Distribución Esfuerzo por Tarea (expresado en m-h)</t>
  </si>
  <si>
    <t>Karner
(m-h)</t>
  </si>
  <si>
    <t>Sch&amp;Win
(m-h)</t>
  </si>
  <si>
    <t>Propia
(m-h)</t>
  </si>
  <si>
    <t>9. NUMERO PERSONAS</t>
  </si>
  <si>
    <t>10. DURACION PROYECTO</t>
  </si>
  <si>
    <t>Karner
(m)</t>
  </si>
  <si>
    <t>Sch&amp;Win
(m)</t>
  </si>
  <si>
    <t>Propia
(m)</t>
  </si>
  <si>
    <t>CU01:  Iniciar sesión</t>
  </si>
  <si>
    <t>Simple</t>
  </si>
  <si>
    <t>CU##: Gestionar tareas</t>
  </si>
  <si>
    <t>CU20:Registrar tiempo por cronómetro</t>
  </si>
  <si>
    <t>CU07: Crear etapa</t>
  </si>
  <si>
    <t>CU08: Crear iteración</t>
  </si>
  <si>
    <t>CU21: Registrar tiempo manual</t>
  </si>
  <si>
    <t>CU23: Registrar usuario a proyecto</t>
  </si>
  <si>
    <t>CU23: Ver reporte</t>
  </si>
  <si>
    <t>CU03: Asignar rol</t>
  </si>
  <si>
    <t>CU04: Modificar perfil</t>
  </si>
  <si>
    <t>CU##: Gestionar proyectos</t>
  </si>
  <si>
    <t>CU02: Exportar información</t>
  </si>
  <si>
    <r>
      <rPr>
        <rFont val="Calibri"/>
        <b/>
        <color theme="1"/>
        <sz val="12.0"/>
      </rPr>
      <t xml:space="preserve">Puntos de CU No Ajustados: </t>
    </r>
    <r>
      <rPr>
        <rFont val="Calibri"/>
        <b/>
        <color rgb="FFFF0000"/>
        <sz val="12.0"/>
      </rPr>
      <t>UUCP = UAW + UUCW</t>
    </r>
  </si>
  <si>
    <r>
      <rPr>
        <rFont val="Calibri"/>
        <b/>
        <color theme="1"/>
        <sz val="12.0"/>
      </rPr>
      <t xml:space="preserve">Factores Técnicos: TF = </t>
    </r>
    <r>
      <rPr>
        <rFont val="Calibri"/>
        <b/>
        <color theme="1"/>
        <sz val="12.0"/>
      </rPr>
      <t xml:space="preserve">∑ </t>
    </r>
    <r>
      <rPr>
        <rFont val="Calibri"/>
        <b/>
        <color theme="1"/>
        <sz val="12.0"/>
      </rPr>
      <t xml:space="preserve">(Peso * Evaluacion ) </t>
    </r>
  </si>
  <si>
    <r>
      <rPr>
        <rFont val="Calibri"/>
        <b/>
        <color theme="1"/>
        <sz val="12.0"/>
      </rPr>
      <t xml:space="preserve">Factor de Complejidad Técnica:  </t>
    </r>
    <r>
      <rPr>
        <rFont val="Calibri"/>
        <b/>
        <color rgb="FFFF0000"/>
        <sz val="12.0"/>
      </rPr>
      <t xml:space="preserve">TCF = 0,06 + 0,01*TC </t>
    </r>
  </si>
  <si>
    <r>
      <rPr>
        <rFont val="Calibri"/>
        <b/>
        <color theme="1"/>
        <sz val="12.0"/>
      </rPr>
      <t xml:space="preserve">Factor de Complejidad Ambiental: </t>
    </r>
    <r>
      <rPr>
        <rFont val="Calibri"/>
        <b/>
        <color rgb="FFFF0000"/>
        <sz val="12.0"/>
      </rPr>
      <t>ECF = 1.4 + (-0.03*EF)</t>
    </r>
  </si>
  <si>
    <r>
      <rPr>
        <rFont val="Calibri"/>
        <b/>
        <color theme="1"/>
        <sz val="12.0"/>
      </rPr>
      <t xml:space="preserve">Puntos de Casos de Uso Ajustados: AUCP = </t>
    </r>
    <r>
      <rPr>
        <rFont val="Calibri"/>
        <b/>
        <color rgb="FFFF0000"/>
        <sz val="12.0"/>
      </rPr>
      <t>UUCP * TCF * ECF</t>
    </r>
  </si>
  <si>
    <t>223.51h (Codificación + pruebas) / 134.5 = 1.66 h-h/UCP</t>
  </si>
  <si>
    <r>
      <rPr>
        <rFont val="Calibri"/>
        <b/>
        <color theme="1"/>
        <sz val="12.0"/>
      </rPr>
      <t xml:space="preserve">Puntos de CU No Ajustados: </t>
    </r>
    <r>
      <rPr>
        <rFont val="Calibri"/>
        <b/>
        <color rgb="FFFF0000"/>
        <sz val="12.0"/>
      </rPr>
      <t>UUCP = UAW + UUCW</t>
    </r>
  </si>
  <si>
    <r>
      <rPr>
        <rFont val="Calibri"/>
        <b/>
        <color theme="1"/>
        <sz val="12.0"/>
      </rPr>
      <t xml:space="preserve">Factores Técnicos: TF = </t>
    </r>
    <r>
      <rPr>
        <rFont val="Calibri"/>
        <b/>
        <color theme="1"/>
        <sz val="12.0"/>
      </rPr>
      <t xml:space="preserve">∑ </t>
    </r>
    <r>
      <rPr>
        <rFont val="Calibri"/>
        <b/>
        <color theme="1"/>
        <sz val="12.0"/>
      </rPr>
      <t xml:space="preserve">(Peso * Evaluacion ) </t>
    </r>
  </si>
  <si>
    <r>
      <rPr>
        <rFont val="Calibri"/>
        <b/>
        <color theme="1"/>
        <sz val="12.0"/>
      </rPr>
      <t xml:space="preserve">Factor de Complejidad Técnica:  </t>
    </r>
    <r>
      <rPr>
        <rFont val="Calibri"/>
        <b/>
        <color rgb="FFFF0000"/>
        <sz val="12.0"/>
      </rPr>
      <t xml:space="preserve">TCF = 0,06 + 0,01*TC </t>
    </r>
  </si>
  <si>
    <r>
      <rPr>
        <rFont val="Calibri"/>
        <b/>
        <color theme="1"/>
        <sz val="12.0"/>
      </rPr>
      <t xml:space="preserve">Factor de Complejidad Ambiental: </t>
    </r>
    <r>
      <rPr>
        <rFont val="Calibri"/>
        <b/>
        <color rgb="FFFF0000"/>
        <sz val="12.0"/>
      </rPr>
      <t>ECF = 1.4 + (-0.03*EF)</t>
    </r>
  </si>
  <si>
    <r>
      <rPr>
        <rFont val="Calibri"/>
        <b/>
        <color theme="1"/>
        <sz val="12.0"/>
      </rPr>
      <t xml:space="preserve">Puntos de Casos de Uso Ajustados: AUCP = </t>
    </r>
    <r>
      <rPr>
        <rFont val="Calibri"/>
        <b/>
        <color rgb="FFFF0000"/>
        <sz val="12.0"/>
      </rPr>
      <t>UUCP * TCF * ECF</t>
    </r>
  </si>
  <si>
    <r>
      <rPr>
        <rFont val="Calibri"/>
        <b/>
        <color theme="1"/>
        <sz val="12.0"/>
      </rPr>
      <t xml:space="preserve">Puntos de CU No Ajustados: </t>
    </r>
    <r>
      <rPr>
        <rFont val="Calibri"/>
        <b/>
        <color rgb="FFFF0000"/>
        <sz val="12.0"/>
      </rPr>
      <t>UUCP = UAW + UUCW</t>
    </r>
  </si>
  <si>
    <t>2.5</t>
  </si>
  <si>
    <t>Las funcionalidades son estaticas</t>
  </si>
  <si>
    <r>
      <rPr>
        <rFont val="Calibri"/>
        <b/>
        <color theme="1"/>
        <sz val="12.0"/>
      </rPr>
      <t xml:space="preserve">Factores Técnicos: TF = </t>
    </r>
    <r>
      <rPr>
        <rFont val="Calibri"/>
        <b/>
        <color theme="1"/>
        <sz val="12.0"/>
      </rPr>
      <t xml:space="preserve">∑ </t>
    </r>
    <r>
      <rPr>
        <rFont val="Calibri"/>
        <b/>
        <color theme="1"/>
        <sz val="12.0"/>
      </rPr>
      <t xml:space="preserve">(Peso * Evaluacion ) </t>
    </r>
  </si>
  <si>
    <r>
      <rPr>
        <rFont val="Calibri"/>
        <b/>
        <color theme="1"/>
        <sz val="12.0"/>
      </rPr>
      <t xml:space="preserve">Factor de Complejidad Técnica:  </t>
    </r>
    <r>
      <rPr>
        <rFont val="Calibri"/>
        <b/>
        <color rgb="FFFF0000"/>
        <sz val="12.0"/>
      </rPr>
      <t xml:space="preserve">TCF = 0,06 + 0,01*TC </t>
    </r>
  </si>
  <si>
    <t>El equipo se considera experto en el proceso definido</t>
  </si>
  <si>
    <t>El equipo de desarrollo tiene una experiencia alta en cuanto al Dominio de Aplicación</t>
  </si>
  <si>
    <t>El equipo cuenta con la experiencia en POO elevada</t>
  </si>
  <si>
    <t>El equipo tiene un alto analisis de requerimientos y modelado OO</t>
  </si>
  <si>
    <t>El equipo tiene una motivación alta</t>
  </si>
  <si>
    <t>Los requerimientos son estables</t>
  </si>
  <si>
    <t>Todos los miembros tienen meses de experiencia</t>
  </si>
  <si>
    <r>
      <rPr>
        <rFont val="Calibri"/>
        <b/>
        <color theme="1"/>
        <sz val="12.0"/>
      </rPr>
      <t xml:space="preserve">Factor de Complejidad Ambiental: </t>
    </r>
    <r>
      <rPr>
        <rFont val="Calibri"/>
        <b/>
        <color rgb="FFFF0000"/>
        <sz val="12.0"/>
      </rPr>
      <t>ECF = 1.4 + (-0.03*EF)</t>
    </r>
  </si>
  <si>
    <r>
      <rPr>
        <rFont val="Calibri"/>
        <b/>
        <color theme="1"/>
        <sz val="12.0"/>
      </rPr>
      <t xml:space="preserve">Puntos de Casos de Uso Ajustados: AUCP = </t>
    </r>
    <r>
      <rPr>
        <rFont val="Calibri"/>
        <b/>
        <color rgb="FFFF0000"/>
        <sz val="12.0"/>
      </rPr>
      <t>UUCP * TCF * ECF</t>
    </r>
  </si>
  <si>
    <t>MiProyecto</t>
  </si>
  <si>
    <t>MiNombre</t>
  </si>
  <si>
    <r>
      <rPr>
        <rFont val="Calibri"/>
        <b/>
        <color theme="1"/>
        <sz val="12.0"/>
      </rPr>
      <t xml:space="preserve">Puntos de CU No Ajustados: </t>
    </r>
    <r>
      <rPr>
        <rFont val="Calibri"/>
        <b/>
        <color rgb="FFFF0000"/>
        <sz val="12.0"/>
      </rPr>
      <t>UUCP = UAW + UUCW</t>
    </r>
  </si>
  <si>
    <r>
      <rPr>
        <rFont val="Calibri"/>
        <b/>
        <color theme="1"/>
        <sz val="12.0"/>
      </rPr>
      <t xml:space="preserve">Factores Técnicos: TF = </t>
    </r>
    <r>
      <rPr>
        <rFont val="Calibri"/>
        <b/>
        <color theme="1"/>
        <sz val="12.0"/>
      </rPr>
      <t xml:space="preserve">∑ </t>
    </r>
    <r>
      <rPr>
        <rFont val="Calibri"/>
        <b/>
        <color theme="1"/>
        <sz val="12.0"/>
      </rPr>
      <t xml:space="preserve">(Peso * Evaluacion ) </t>
    </r>
  </si>
  <si>
    <r>
      <rPr>
        <rFont val="Calibri"/>
        <b/>
        <color theme="1"/>
        <sz val="12.0"/>
      </rPr>
      <t xml:space="preserve">Factor de Complejidad Técnica:  </t>
    </r>
    <r>
      <rPr>
        <rFont val="Calibri"/>
        <b/>
        <color rgb="FFFF0000"/>
        <sz val="12.0"/>
      </rPr>
      <t xml:space="preserve">TCF = 0,06 + 0,01*TC </t>
    </r>
  </si>
  <si>
    <t>El equipo cuenta con la experiencia minima</t>
  </si>
  <si>
    <t>El equipo cuenta con la experiencia media</t>
  </si>
  <si>
    <t>El equipo está desmotivado</t>
  </si>
  <si>
    <t>Los requerimientos son algo inestables</t>
  </si>
  <si>
    <t>Los miembros tienen un 40% de tiempo parcial.</t>
  </si>
  <si>
    <t>Ningún miembro cuenta con la experiencia suficiente</t>
  </si>
  <si>
    <r>
      <rPr>
        <rFont val="Calibri"/>
        <b/>
        <color theme="1"/>
        <sz val="12.0"/>
      </rPr>
      <t xml:space="preserve">Factor de Complejidad Ambiental: </t>
    </r>
    <r>
      <rPr>
        <rFont val="Calibri"/>
        <b/>
        <color rgb="FFFF0000"/>
        <sz val="12.0"/>
      </rPr>
      <t>ECF = 1.4 + (-0.03*EF)</t>
    </r>
  </si>
  <si>
    <r>
      <rPr>
        <rFont val="Calibri"/>
        <b/>
        <color theme="1"/>
        <sz val="12.0"/>
      </rPr>
      <t xml:space="preserve">Puntos de Casos de Uso Ajustados: AUCP = </t>
    </r>
    <r>
      <rPr>
        <rFont val="Calibri"/>
        <b/>
        <color rgb="FFFF0000"/>
        <sz val="12.0"/>
      </rPr>
      <t>UUCP * TCF * ECF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</si>
</sst>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0"/>
  </numFmts>
  <fonts count="17">
    <font>
      <sz val="10.0"/>
      <color rgb="FF000000"/>
      <name val="Arial"/>
      <scheme val="minor"/>
    </font>
    <font>
      <sz val="12.0"/>
      <color theme="1"/>
      <name val="Calibri"/>
    </font>
    <font>
      <b/>
      <sz val="16.0"/>
      <color theme="1"/>
      <name val="Calibri"/>
    </font>
    <font/>
    <font>
      <b/>
      <sz val="12.0"/>
      <color theme="1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sz val="10.0"/>
      <color rgb="FF000000"/>
      <name val="Arial"/>
    </font>
    <font>
      <sz val="12.0"/>
      <color rgb="FF3F3F76"/>
      <name val="Calibri"/>
    </font>
    <font>
      <b/>
      <sz val="12.0"/>
      <color rgb="FFFA7D00"/>
      <name val="Calibri"/>
    </font>
    <font>
      <b/>
      <sz val="12.0"/>
      <color rgb="FF3F3F3F"/>
      <name val="Calibri"/>
    </font>
    <font>
      <u/>
      <sz val="10.0"/>
      <color theme="10"/>
      <name val="Arial"/>
    </font>
    <font>
      <b/>
      <sz val="11.0"/>
      <color rgb="FFFA7D00"/>
      <name val="Calibri"/>
    </font>
    <font>
      <b/>
      <sz val="12.0"/>
      <color rgb="FF002060"/>
      <name val="Calibri"/>
    </font>
    <font>
      <b/>
      <sz val="12.0"/>
      <color rgb="FF3F3F76"/>
      <name val="Calibri"/>
    </font>
    <font>
      <color theme="1"/>
      <name val="Arial"/>
    </font>
    <font>
      <u/>
      <sz val="12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CC99"/>
        <bgColor rgb="FFFFCC99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</fills>
  <borders count="2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3F3F3F"/>
      </left>
      <right style="thin">
        <color rgb="FF3F3F3F"/>
      </right>
      <top/>
      <bottom style="thin">
        <color rgb="FF3F3F3F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49" xfId="0" applyAlignment="1" applyFont="1" applyNumberFormat="1">
      <alignment shrinkToFit="0" vertical="center" wrapText="1"/>
    </xf>
    <xf borderId="0" fillId="0" fontId="1" numFmtId="0" xfId="0" applyAlignment="1" applyFont="1">
      <alignment horizontal="right" shrinkToFit="0" vertical="center" wrapText="1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horizontal="left" vertical="center"/>
    </xf>
    <xf borderId="4" fillId="0" fontId="5" numFmtId="0" xfId="0" applyAlignment="1" applyBorder="1" applyFont="1">
      <alignment shrinkToFit="0" vertical="center" wrapText="1"/>
    </xf>
    <xf borderId="5" fillId="0" fontId="6" numFmtId="0" xfId="0" applyAlignment="1" applyBorder="1" applyFont="1">
      <alignment shrinkToFit="0" vertical="center" wrapText="1"/>
    </xf>
    <xf borderId="5" fillId="0" fontId="7" numFmtId="0" xfId="0" applyAlignment="1" applyBorder="1" applyFont="1">
      <alignment shrinkToFit="0" vertical="center" wrapText="1"/>
    </xf>
    <xf borderId="6" fillId="0" fontId="7" numFmtId="0" xfId="0" applyAlignment="1" applyBorder="1" applyFont="1">
      <alignment shrinkToFit="0" vertical="center" wrapText="1"/>
    </xf>
    <xf borderId="0" fillId="0" fontId="4" numFmtId="0" xfId="0" applyAlignment="1" applyFont="1">
      <alignment horizontal="center" vertical="center"/>
    </xf>
    <xf borderId="7" fillId="0" fontId="5" numFmtId="0" xfId="0" applyAlignment="1" applyBorder="1" applyFont="1">
      <alignment shrinkToFit="0" vertical="center" wrapText="1"/>
    </xf>
    <xf borderId="8" fillId="0" fontId="6" numFmtId="0" xfId="0" applyAlignment="1" applyBorder="1" applyFont="1">
      <alignment vertical="center"/>
    </xf>
    <xf borderId="8" fillId="0" fontId="7" numFmtId="0" xfId="0" applyAlignment="1" applyBorder="1" applyFont="1">
      <alignment shrinkToFit="0" vertical="center" wrapText="1"/>
    </xf>
    <xf borderId="9" fillId="0" fontId="7" numFmtId="0" xfId="0" applyAlignment="1" applyBorder="1" applyFont="1">
      <alignment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10" fillId="2" fontId="4" numFmtId="0" xfId="0" applyAlignment="1" applyBorder="1" applyFill="1" applyFont="1">
      <alignment horizontal="center" shrinkToFit="0" vertical="center" wrapText="1"/>
    </xf>
    <xf borderId="10" fillId="2" fontId="4" numFmtId="49" xfId="0" applyAlignment="1" applyBorder="1" applyFont="1" applyNumberFormat="1">
      <alignment horizontal="center" shrinkToFit="0" vertical="center" wrapText="1"/>
    </xf>
    <xf borderId="11" fillId="3" fontId="8" numFmtId="0" xfId="0" applyAlignment="1" applyBorder="1" applyFill="1" applyFont="1">
      <alignment shrinkToFit="0" vertical="center" wrapText="1"/>
    </xf>
    <xf borderId="12" fillId="3" fontId="8" numFmtId="0" xfId="0" applyAlignment="1" applyBorder="1" applyFont="1">
      <alignment shrinkToFit="0" vertical="center" wrapText="1"/>
    </xf>
    <xf borderId="12" fillId="4" fontId="9" numFmtId="0" xfId="0" applyAlignment="1" applyBorder="1" applyFill="1" applyFont="1">
      <alignment horizontal="center" shrinkToFit="0" vertical="center" wrapText="1"/>
    </xf>
    <xf borderId="12" fillId="3" fontId="8" numFmtId="0" xfId="0" applyAlignment="1" applyBorder="1" applyFont="1">
      <alignment horizontal="center" shrinkToFit="0" vertical="center" wrapText="1"/>
    </xf>
    <xf borderId="13" fillId="3" fontId="8" numFmtId="0" xfId="0" applyAlignment="1" applyBorder="1" applyFont="1">
      <alignment shrinkToFit="0" vertical="center" wrapText="1"/>
    </xf>
    <xf borderId="9" fillId="3" fontId="8" numFmtId="0" xfId="0" applyAlignment="1" applyBorder="1" applyFont="1">
      <alignment shrinkToFit="0" vertical="center" wrapText="1"/>
    </xf>
    <xf borderId="9" fillId="4" fontId="9" numFmtId="0" xfId="0" applyAlignment="1" applyBorder="1" applyFont="1">
      <alignment horizontal="center" shrinkToFit="0" vertical="center" wrapText="1"/>
    </xf>
    <xf borderId="9" fillId="3" fontId="8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shrinkToFit="0" vertical="center" wrapText="1"/>
    </xf>
    <xf borderId="1" fillId="0" fontId="4" numFmtId="49" xfId="0" applyAlignment="1" applyBorder="1" applyFont="1" applyNumberFormat="1">
      <alignment horizontal="right" shrinkToFit="0" vertical="center" wrapText="1"/>
    </xf>
    <xf borderId="10" fillId="4" fontId="10" numFmtId="0" xfId="0" applyAlignment="1" applyBorder="1" applyFont="1">
      <alignment horizontal="center" shrinkToFit="0" vertical="center" wrapText="1"/>
    </xf>
    <xf borderId="0" fillId="0" fontId="4" numFmtId="49" xfId="0" applyAlignment="1" applyFont="1" applyNumberFormat="1">
      <alignment horizontal="right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shrinkToFit="0" vertical="center" wrapText="1"/>
    </xf>
    <xf borderId="0" fillId="0" fontId="4" numFmtId="0" xfId="0" applyAlignment="1" applyFont="1">
      <alignment horizontal="right" shrinkToFit="0" vertical="center" wrapText="1"/>
    </xf>
    <xf borderId="0" fillId="0" fontId="4" numFmtId="49" xfId="0" applyAlignment="1" applyFont="1" applyNumberFormat="1">
      <alignment vertical="center"/>
    </xf>
    <xf borderId="13" fillId="3" fontId="8" numFmtId="0" xfId="0" applyAlignment="1" applyBorder="1" applyFont="1">
      <alignment shrinkToFit="0" wrapText="1"/>
    </xf>
    <xf borderId="9" fillId="3" fontId="7" numFmtId="0" xfId="0" applyAlignment="1" applyBorder="1" applyFont="1">
      <alignment shrinkToFit="0" wrapText="1"/>
    </xf>
    <xf borderId="9" fillId="3" fontId="8" numFmtId="0" xfId="0" applyAlignment="1" applyBorder="1" applyFont="1">
      <alignment horizontal="center" shrinkToFit="0" wrapText="1"/>
    </xf>
    <xf borderId="9" fillId="4" fontId="9" numFmtId="0" xfId="0" applyAlignment="1" applyBorder="1" applyFont="1">
      <alignment horizontal="center" shrinkToFit="0" wrapText="1"/>
    </xf>
    <xf borderId="9" fillId="3" fontId="7" numFmtId="0" xfId="0" applyAlignment="1" applyBorder="1" applyFont="1">
      <alignment shrinkToFit="0" vertical="center" wrapText="1"/>
    </xf>
    <xf borderId="14" fillId="0" fontId="4" numFmtId="0" xfId="0" applyAlignment="1" applyBorder="1" applyFont="1">
      <alignment shrinkToFit="0" vertical="center" wrapText="1"/>
    </xf>
    <xf borderId="15" fillId="0" fontId="4" numFmtId="49" xfId="0" applyAlignment="1" applyBorder="1" applyFont="1" applyNumberFormat="1">
      <alignment horizontal="right" shrinkToFit="0" vertical="center" wrapText="1"/>
    </xf>
    <xf borderId="16" fillId="0" fontId="3" numFmtId="0" xfId="0" applyBorder="1" applyFont="1"/>
    <xf borderId="17" fillId="0" fontId="3" numFmtId="0" xfId="0" applyBorder="1" applyFont="1"/>
    <xf borderId="18" fillId="4" fontId="10" numFmtId="0" xfId="0" applyAlignment="1" applyBorder="1" applyFont="1">
      <alignment horizontal="center" shrinkToFit="0" vertical="center" wrapText="1"/>
    </xf>
    <xf borderId="10" fillId="2" fontId="4" numFmtId="0" xfId="0" applyAlignment="1" applyBorder="1" applyFont="1">
      <alignment shrinkToFit="0" vertical="center" wrapText="1"/>
    </xf>
    <xf borderId="10" fillId="0" fontId="1" numFmtId="49" xfId="0" applyAlignment="1" applyBorder="1" applyFont="1" applyNumberFormat="1">
      <alignment shrinkToFit="0" vertical="center" wrapText="1"/>
    </xf>
    <xf borderId="12" fillId="4" fontId="6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shrinkToFit="0" vertical="top" wrapText="1"/>
    </xf>
    <xf borderId="9" fillId="4" fontId="6" numFmtId="0" xfId="0" applyAlignment="1" applyBorder="1" applyFont="1">
      <alignment horizontal="center" shrinkToFit="0" vertical="center" wrapText="1"/>
    </xf>
    <xf borderId="13" fillId="3" fontId="7" numFmtId="0" xfId="0" applyAlignment="1" applyBorder="1" applyFont="1">
      <alignment shrinkToFit="0" vertical="center" wrapText="1"/>
    </xf>
    <xf borderId="10" fillId="4" fontId="1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49" xfId="0" applyAlignment="1" applyFont="1" applyNumberFormat="1">
      <alignment horizontal="center" shrinkToFit="0" vertical="center" wrapText="1"/>
    </xf>
    <xf borderId="10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horizontal="right" shrinkToFit="0" vertical="center" wrapText="1"/>
    </xf>
    <xf borderId="2" fillId="0" fontId="1" numFmtId="49" xfId="0" applyAlignment="1" applyBorder="1" applyFont="1" applyNumberFormat="1">
      <alignment shrinkToFit="0" vertical="center" wrapText="1"/>
    </xf>
    <xf borderId="2" fillId="0" fontId="4" numFmtId="0" xfId="0" applyAlignment="1" applyBorder="1" applyFont="1">
      <alignment horizontal="right" vertical="center"/>
    </xf>
    <xf borderId="1" fillId="0" fontId="4" numFmtId="0" xfId="0" applyAlignment="1" applyBorder="1" applyFont="1">
      <alignment horizontal="right" shrinkToFit="0" vertical="center" wrapText="1"/>
    </xf>
    <xf borderId="10" fillId="2" fontId="4" numFmtId="164" xfId="0" applyAlignment="1" applyBorder="1" applyFont="1" applyNumberFormat="1">
      <alignment horizontal="center" shrinkToFit="0" vertical="center" wrapText="1"/>
    </xf>
    <xf borderId="19" fillId="5" fontId="13" numFmtId="0" xfId="0" applyAlignment="1" applyBorder="1" applyFill="1" applyFont="1">
      <alignment shrinkToFit="0" vertical="center" wrapText="1"/>
    </xf>
    <xf borderId="10" fillId="2" fontId="1" numFmtId="164" xfId="0" applyAlignment="1" applyBorder="1" applyFont="1" applyNumberFormat="1">
      <alignment horizontal="center" vertical="center"/>
    </xf>
    <xf borderId="10" fillId="2" fontId="1" numFmtId="2" xfId="0" applyAlignment="1" applyBorder="1" applyFont="1" applyNumberFormat="1">
      <alignment horizontal="center" vertical="center"/>
    </xf>
    <xf borderId="10" fillId="3" fontId="8" numFmtId="164" xfId="0" applyAlignment="1" applyBorder="1" applyFont="1" applyNumberFormat="1">
      <alignment horizontal="center" shrinkToFit="0" vertical="center" wrapText="1"/>
    </xf>
    <xf borderId="1" fillId="2" fontId="4" numFmtId="49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vertical="center"/>
    </xf>
    <xf borderId="10" fillId="2" fontId="4" numFmtId="164" xfId="0" applyAlignment="1" applyBorder="1" applyFont="1" applyNumberFormat="1">
      <alignment horizontal="center" vertical="center"/>
    </xf>
    <xf borderId="10" fillId="2" fontId="4" numFmtId="165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shrinkToFit="0" vertical="center" wrapText="1"/>
    </xf>
    <xf borderId="10" fillId="2" fontId="1" numFmtId="0" xfId="0" applyAlignment="1" applyBorder="1" applyFont="1">
      <alignment horizontal="left" shrinkToFit="0" vertical="center" wrapText="1"/>
    </xf>
    <xf borderId="10" fillId="3" fontId="14" numFmtId="9" xfId="0" applyAlignment="1" applyBorder="1" applyFont="1" applyNumberFormat="1">
      <alignment horizontal="center" shrinkToFit="0" vertical="center" wrapText="1"/>
    </xf>
    <xf borderId="10" fillId="2" fontId="1" numFmtId="0" xfId="0" applyAlignment="1" applyBorder="1" applyFont="1">
      <alignment shrinkToFit="0" vertical="center" wrapText="1"/>
    </xf>
    <xf borderId="10" fillId="3" fontId="8" numFmtId="0" xfId="0" applyAlignment="1" applyBorder="1" applyFont="1">
      <alignment horizontal="center" shrinkToFit="0" vertical="center" wrapText="1"/>
    </xf>
    <xf borderId="0" fillId="0" fontId="1" numFmtId="2" xfId="0" applyAlignment="1" applyFont="1" applyNumberFormat="1">
      <alignment shrinkToFit="0" vertical="center" wrapText="1"/>
    </xf>
    <xf borderId="10" fillId="0" fontId="1" numFmtId="164" xfId="0" applyAlignment="1" applyBorder="1" applyFont="1" applyNumberFormat="1">
      <alignment horizontal="center" shrinkToFit="0" vertical="center" wrapText="1"/>
    </xf>
    <xf borderId="0" fillId="0" fontId="1" numFmtId="2" xfId="0" applyAlignment="1" applyFont="1" applyNumberFormat="1">
      <alignment horizontal="right" shrinkToFit="0" vertical="center" wrapText="1"/>
    </xf>
    <xf borderId="10" fillId="3" fontId="8" numFmtId="0" xfId="0" applyBorder="1" applyFont="1"/>
    <xf borderId="10" fillId="3" fontId="15" numFmtId="0" xfId="0" applyBorder="1" applyFont="1"/>
    <xf borderId="10" fillId="3" fontId="8" numFmtId="0" xfId="0" applyAlignment="1" applyBorder="1" applyFont="1">
      <alignment horizontal="center"/>
    </xf>
    <xf borderId="10" fillId="4" fontId="9" numFmtId="0" xfId="0" applyAlignment="1" applyBorder="1" applyFont="1">
      <alignment horizontal="center" shrinkToFit="0" wrapText="1"/>
    </xf>
    <xf borderId="20" fillId="3" fontId="15" numFmtId="0" xfId="0" applyBorder="1" applyFont="1"/>
    <xf borderId="20" fillId="3" fontId="8" numFmtId="0" xfId="0" applyAlignment="1" applyBorder="1" applyFont="1">
      <alignment horizontal="center"/>
    </xf>
    <xf borderId="11" fillId="3" fontId="8" numFmtId="0" xfId="0" applyAlignment="1" applyBorder="1" applyFont="1">
      <alignment shrinkToFit="0" vertical="bottom" wrapText="1"/>
    </xf>
    <xf borderId="12" fillId="3" fontId="15" numFmtId="0" xfId="0" applyAlignment="1" applyBorder="1" applyFont="1">
      <alignment vertical="bottom"/>
    </xf>
    <xf borderId="12" fillId="3" fontId="8" numFmtId="0" xfId="0" applyAlignment="1" applyBorder="1" applyFont="1">
      <alignment horizontal="center" shrinkToFit="0" vertical="bottom" wrapText="1"/>
    </xf>
    <xf borderId="12" fillId="4" fontId="9" numFmtId="0" xfId="0" applyAlignment="1" applyBorder="1" applyFont="1">
      <alignment horizontal="center" shrinkToFit="0" vertical="bottom" wrapText="1"/>
    </xf>
    <xf borderId="13" fillId="3" fontId="8" numFmtId="0" xfId="0" applyAlignment="1" applyBorder="1" applyFont="1">
      <alignment shrinkToFit="0" vertical="bottom" wrapText="1"/>
    </xf>
    <xf borderId="9" fillId="3" fontId="15" numFmtId="0" xfId="0" applyAlignment="1" applyBorder="1" applyFont="1">
      <alignment vertical="bottom"/>
    </xf>
    <xf borderId="9" fillId="3" fontId="8" numFmtId="0" xfId="0" applyAlignment="1" applyBorder="1" applyFont="1">
      <alignment horizontal="center" shrinkToFit="0" vertical="bottom" wrapText="1"/>
    </xf>
    <xf borderId="9" fillId="4" fontId="9" numFmtId="0" xfId="0" applyAlignment="1" applyBorder="1" applyFont="1">
      <alignment horizontal="center" shrinkToFit="0" vertical="bottom" wrapText="1"/>
    </xf>
    <xf borderId="0" fillId="6" fontId="1" numFmtId="0" xfId="0" applyAlignment="1" applyFill="1" applyFont="1">
      <alignment readingOrder="0" shrinkToFit="0" vertical="center" wrapText="1"/>
    </xf>
    <xf borderId="10" fillId="3" fontId="8" numFmtId="164" xfId="0" applyAlignment="1" applyBorder="1" applyFont="1" applyNumberFormat="1">
      <alignment horizontal="center" readingOrder="0" shrinkToFit="0" vertical="center" wrapText="1"/>
    </xf>
    <xf borderId="10" fillId="3" fontId="8" numFmtId="0" xfId="0" applyAlignment="1" applyBorder="1" applyFont="1">
      <alignment horizontal="center" readingOrder="0" shrinkToFit="0" vertical="center" wrapText="1"/>
    </xf>
    <xf borderId="21" fillId="0" fontId="4" numFmtId="0" xfId="0" applyAlignment="1" applyBorder="1" applyFont="1">
      <alignment horizontal="left" vertical="center"/>
    </xf>
    <xf borderId="22" fillId="0" fontId="4" numFmtId="0" xfId="0" applyAlignment="1" applyBorder="1" applyFont="1">
      <alignment horizontal="center" vertical="center"/>
    </xf>
    <xf borderId="15" fillId="0" fontId="4" numFmtId="0" xfId="0" applyAlignment="1" applyBorder="1" applyFont="1">
      <alignment horizontal="left" vertical="center"/>
    </xf>
    <xf borderId="16" fillId="0" fontId="1" numFmtId="0" xfId="0" applyAlignment="1" applyBorder="1" applyFont="1">
      <alignment vertical="center"/>
    </xf>
    <xf borderId="16" fillId="0" fontId="4" numFmtId="0" xfId="0" applyAlignment="1" applyBorder="1" applyFont="1">
      <alignment horizontal="center" vertical="center"/>
    </xf>
    <xf borderId="17" fillId="0" fontId="4" numFmtId="0" xfId="0" applyAlignment="1" applyBorder="1" applyFont="1">
      <alignment horizontal="center" vertical="center"/>
    </xf>
    <xf borderId="0" fillId="0" fontId="16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3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2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2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3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3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75"/>
    <col customWidth="1" min="2" max="2" width="32.13"/>
    <col customWidth="1" min="3" max="3" width="33.38"/>
    <col customWidth="1" min="4" max="4" width="38.63"/>
    <col customWidth="1" min="5" max="5" width="13.63"/>
    <col customWidth="1" min="6" max="6" width="16.13"/>
    <col customWidth="1" min="7" max="7" width="16.75"/>
    <col customWidth="1" min="8" max="8" width="34.38"/>
    <col customWidth="1" min="9" max="9" width="10.63"/>
    <col customWidth="1" min="10" max="10" width="13.75"/>
    <col customWidth="1" min="11" max="26" width="9.13"/>
  </cols>
  <sheetData>
    <row r="1" ht="27.75" customHeight="1">
      <c r="A1" s="1"/>
      <c r="B1" s="1"/>
      <c r="C1" s="1"/>
      <c r="D1" s="2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4"/>
      <c r="B2" s="5" t="s">
        <v>0</v>
      </c>
      <c r="C2" s="6"/>
      <c r="D2" s="6"/>
      <c r="E2" s="6"/>
      <c r="F2" s="6"/>
      <c r="G2" s="7"/>
      <c r="H2" s="8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4"/>
      <c r="B3" s="9" t="s">
        <v>1</v>
      </c>
      <c r="C3" s="10" t="s">
        <v>2</v>
      </c>
      <c r="D3" s="11"/>
      <c r="E3" s="11"/>
      <c r="F3" s="11"/>
      <c r="G3" s="12"/>
      <c r="H3" s="1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4"/>
      <c r="B4" s="14" t="s">
        <v>3</v>
      </c>
      <c r="C4" s="15" t="s">
        <v>4</v>
      </c>
      <c r="D4" s="16"/>
      <c r="E4" s="16"/>
      <c r="F4" s="16"/>
      <c r="G4" s="17"/>
      <c r="H4" s="1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7.75" customHeight="1">
      <c r="A5" s="1"/>
      <c r="B5" s="18"/>
      <c r="C5" s="1"/>
      <c r="D5" s="19"/>
      <c r="E5" s="19"/>
      <c r="F5" s="19"/>
      <c r="G5" s="19"/>
      <c r="H5" s="1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1"/>
      <c r="B6" s="1"/>
      <c r="C6" s="1"/>
      <c r="D6" s="2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20" t="s">
        <v>5</v>
      </c>
      <c r="B7" s="21" t="s">
        <v>6</v>
      </c>
      <c r="C7" s="22" t="s">
        <v>7</v>
      </c>
      <c r="D7" s="22" t="s">
        <v>8</v>
      </c>
      <c r="E7" s="21" t="s">
        <v>9</v>
      </c>
      <c r="F7" s="21" t="s">
        <v>10</v>
      </c>
      <c r="G7" s="21" t="s">
        <v>11</v>
      </c>
      <c r="H7" s="19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27.75" customHeight="1">
      <c r="A8" s="1"/>
      <c r="B8" s="23" t="s">
        <v>12</v>
      </c>
      <c r="C8" s="24" t="s">
        <v>13</v>
      </c>
      <c r="D8" s="24" t="s">
        <v>14</v>
      </c>
      <c r="E8" s="25">
        <v>3.0</v>
      </c>
      <c r="F8" s="26">
        <v>1.0</v>
      </c>
      <c r="G8" s="25">
        <v>1.0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75" customHeight="1">
      <c r="A9" s="1"/>
      <c r="B9" s="27" t="s">
        <v>15</v>
      </c>
      <c r="C9" s="28" t="s">
        <v>13</v>
      </c>
      <c r="D9" s="28" t="s">
        <v>16</v>
      </c>
      <c r="E9" s="29">
        <v>3.0</v>
      </c>
      <c r="F9" s="30">
        <v>1.0</v>
      </c>
      <c r="G9" s="29">
        <v>1.0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75" customHeight="1">
      <c r="A10" s="1"/>
      <c r="B10" s="27" t="s">
        <v>17</v>
      </c>
      <c r="C10" s="28" t="s">
        <v>13</v>
      </c>
      <c r="D10" s="28" t="s">
        <v>18</v>
      </c>
      <c r="E10" s="29">
        <v>3.0</v>
      </c>
      <c r="F10" s="30">
        <v>1.0</v>
      </c>
      <c r="G10" s="29">
        <v>1.0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75" customHeight="1">
      <c r="A11" s="1"/>
      <c r="B11" s="27"/>
      <c r="C11" s="28"/>
      <c r="D11" s="28"/>
      <c r="E11" s="29"/>
      <c r="F11" s="30"/>
      <c r="G11" s="29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75" customHeight="1">
      <c r="A12" s="1"/>
      <c r="B12" s="31"/>
      <c r="C12" s="32" t="s">
        <v>19</v>
      </c>
      <c r="D12" s="6"/>
      <c r="E12" s="6"/>
      <c r="F12" s="7"/>
      <c r="G12" s="33">
        <f>SUM(G8:G11)</f>
        <v>3</v>
      </c>
      <c r="H12" s="2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75" customHeight="1">
      <c r="A13" s="1"/>
      <c r="B13" s="20"/>
      <c r="C13" s="34"/>
      <c r="D13" s="3"/>
      <c r="E13" s="3"/>
      <c r="F13" s="3"/>
      <c r="G13" s="35"/>
      <c r="H13" s="2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75" customHeight="1">
      <c r="A14" s="1"/>
      <c r="B14" s="20"/>
      <c r="C14" s="36"/>
      <c r="D14" s="36"/>
      <c r="E14" s="37"/>
      <c r="F14" s="20"/>
      <c r="G14" s="20"/>
      <c r="H14" s="20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75" customHeight="1">
      <c r="A15" s="20" t="s">
        <v>20</v>
      </c>
      <c r="B15" s="21" t="s">
        <v>21</v>
      </c>
      <c r="C15" s="21" t="s">
        <v>22</v>
      </c>
      <c r="D15" s="22" t="s">
        <v>23</v>
      </c>
      <c r="E15" s="22" t="s">
        <v>24</v>
      </c>
      <c r="F15" s="21" t="s">
        <v>9</v>
      </c>
      <c r="G15" s="19"/>
      <c r="H15" s="1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38"/>
      <c r="U15" s="1"/>
      <c r="V15" s="1"/>
      <c r="W15" s="1"/>
      <c r="X15" s="1"/>
      <c r="Y15" s="1"/>
      <c r="Z15" s="1"/>
    </row>
    <row r="16" ht="27.75" customHeight="1">
      <c r="A16" s="1"/>
      <c r="B16" s="39" t="s">
        <v>25</v>
      </c>
      <c r="C16" s="40"/>
      <c r="D16" s="41">
        <v>4.0</v>
      </c>
      <c r="E16" s="42" t="s">
        <v>26</v>
      </c>
      <c r="F16" s="42">
        <v>10.0</v>
      </c>
      <c r="G16" s="1"/>
      <c r="H16" s="1"/>
      <c r="I16" s="1"/>
      <c r="J16" s="1"/>
      <c r="K16" s="38"/>
      <c r="L16" s="1"/>
      <c r="M16" s="1"/>
      <c r="N16" s="1"/>
      <c r="O16" s="1"/>
      <c r="P16" s="1"/>
      <c r="Q16" s="1"/>
      <c r="R16" s="1"/>
      <c r="S16" s="1"/>
      <c r="T16" s="38"/>
      <c r="U16" s="1"/>
      <c r="V16" s="1"/>
      <c r="W16" s="1"/>
      <c r="X16" s="1"/>
      <c r="Y16" s="1"/>
      <c r="Z16" s="1"/>
    </row>
    <row r="17" ht="27.75" customHeight="1">
      <c r="A17" s="1"/>
      <c r="B17" s="39" t="s">
        <v>27</v>
      </c>
      <c r="C17" s="40"/>
      <c r="D17" s="41">
        <v>4.0</v>
      </c>
      <c r="E17" s="42" t="s">
        <v>26</v>
      </c>
      <c r="F17" s="42">
        <v>10.0</v>
      </c>
      <c r="G17" s="1"/>
      <c r="H17" s="1"/>
      <c r="I17" s="1"/>
      <c r="J17" s="1"/>
      <c r="K17" s="38"/>
      <c r="L17" s="1"/>
      <c r="M17" s="1"/>
      <c r="N17" s="1"/>
      <c r="O17" s="1"/>
      <c r="P17" s="1"/>
      <c r="Q17" s="1"/>
      <c r="R17" s="1"/>
      <c r="S17" s="1"/>
      <c r="T17" s="38"/>
      <c r="U17" s="1"/>
      <c r="V17" s="1"/>
      <c r="W17" s="1"/>
      <c r="X17" s="1"/>
      <c r="Y17" s="1"/>
      <c r="Z17" s="1"/>
    </row>
    <row r="18" ht="27.75" customHeight="1">
      <c r="A18" s="1"/>
      <c r="B18" s="39"/>
      <c r="C18" s="40"/>
      <c r="D18" s="41"/>
      <c r="E18" s="42"/>
      <c r="F18" s="42"/>
      <c r="G18" s="1"/>
      <c r="H18" s="1"/>
      <c r="I18" s="1"/>
      <c r="J18" s="1"/>
      <c r="K18" s="38"/>
      <c r="L18" s="1"/>
      <c r="M18" s="1"/>
      <c r="N18" s="1"/>
      <c r="O18" s="1"/>
      <c r="P18" s="1"/>
      <c r="Q18" s="1"/>
      <c r="R18" s="1"/>
      <c r="S18" s="1"/>
      <c r="T18" s="38"/>
      <c r="U18" s="1"/>
      <c r="V18" s="1"/>
      <c r="W18" s="1"/>
      <c r="X18" s="1"/>
      <c r="Y18" s="1"/>
      <c r="Z18" s="1"/>
    </row>
    <row r="19" ht="27.75" customHeight="1">
      <c r="A19" s="1"/>
      <c r="B19" s="39"/>
      <c r="C19" s="40"/>
      <c r="D19" s="41"/>
      <c r="E19" s="42"/>
      <c r="F19" s="42"/>
      <c r="G19" s="1"/>
      <c r="H19" s="1"/>
      <c r="I19" s="1"/>
      <c r="J19" s="1"/>
      <c r="K19" s="38"/>
      <c r="L19" s="1"/>
      <c r="M19" s="1"/>
      <c r="N19" s="1"/>
      <c r="O19" s="1"/>
      <c r="P19" s="1"/>
      <c r="Q19" s="1"/>
      <c r="R19" s="1"/>
      <c r="S19" s="1"/>
      <c r="T19" s="38"/>
      <c r="U19" s="1"/>
      <c r="V19" s="1"/>
      <c r="W19" s="1"/>
      <c r="X19" s="1"/>
      <c r="Y19" s="1"/>
      <c r="Z19" s="1"/>
    </row>
    <row r="20" ht="27.75" customHeight="1">
      <c r="A20" s="1"/>
      <c r="B20" s="39"/>
      <c r="C20" s="40"/>
      <c r="D20" s="41"/>
      <c r="E20" s="42"/>
      <c r="F20" s="42"/>
      <c r="G20" s="1"/>
      <c r="H20" s="1"/>
      <c r="I20" s="1"/>
      <c r="J20" s="1"/>
      <c r="K20" s="38"/>
      <c r="L20" s="1"/>
      <c r="M20" s="1"/>
      <c r="N20" s="1"/>
      <c r="O20" s="1"/>
      <c r="P20" s="1"/>
      <c r="Q20" s="1"/>
      <c r="R20" s="1"/>
      <c r="S20" s="1"/>
      <c r="T20" s="38"/>
      <c r="U20" s="1"/>
      <c r="V20" s="1"/>
      <c r="W20" s="1"/>
      <c r="X20" s="1"/>
      <c r="Y20" s="1"/>
      <c r="Z20" s="1"/>
    </row>
    <row r="21" ht="27.75" customHeight="1">
      <c r="A21" s="1"/>
      <c r="B21" s="39"/>
      <c r="C21" s="40"/>
      <c r="D21" s="41"/>
      <c r="E21" s="42"/>
      <c r="F21" s="42"/>
      <c r="G21" s="1"/>
      <c r="H21" s="1"/>
      <c r="I21" s="1"/>
      <c r="J21" s="1"/>
      <c r="K21" s="38"/>
      <c r="L21" s="1"/>
      <c r="M21" s="1"/>
      <c r="N21" s="1"/>
      <c r="O21" s="1"/>
      <c r="P21" s="1"/>
      <c r="Q21" s="1"/>
      <c r="R21" s="1"/>
      <c r="S21" s="1"/>
      <c r="T21" s="38"/>
      <c r="U21" s="1"/>
      <c r="V21" s="1"/>
      <c r="W21" s="1"/>
      <c r="X21" s="1"/>
      <c r="Y21" s="1"/>
      <c r="Z21" s="1"/>
    </row>
    <row r="22" ht="27.75" customHeight="1">
      <c r="A22" s="1"/>
      <c r="B22" s="39"/>
      <c r="C22" s="40"/>
      <c r="D22" s="41"/>
      <c r="E22" s="42"/>
      <c r="F22" s="42"/>
      <c r="G22" s="1"/>
      <c r="H22" s="1"/>
      <c r="I22" s="1"/>
      <c r="J22" s="1"/>
      <c r="K22" s="38"/>
      <c r="L22" s="1"/>
      <c r="M22" s="1"/>
      <c r="N22" s="1"/>
      <c r="O22" s="1"/>
      <c r="P22" s="1"/>
      <c r="Q22" s="1"/>
      <c r="R22" s="1"/>
      <c r="S22" s="1"/>
      <c r="T22" s="38"/>
      <c r="U22" s="1"/>
      <c r="V22" s="1"/>
      <c r="W22" s="1"/>
      <c r="X22" s="1"/>
      <c r="Y22" s="1"/>
      <c r="Z22" s="1"/>
    </row>
    <row r="23" ht="27.75" customHeight="1">
      <c r="A23" s="1"/>
      <c r="B23" s="39"/>
      <c r="C23" s="40"/>
      <c r="D23" s="41"/>
      <c r="E23" s="42"/>
      <c r="F23" s="42"/>
      <c r="G23" s="1"/>
      <c r="H23" s="1"/>
      <c r="I23" s="1"/>
      <c r="J23" s="1"/>
      <c r="K23" s="38"/>
      <c r="L23" s="1"/>
      <c r="M23" s="1"/>
      <c r="N23" s="1"/>
      <c r="O23" s="1"/>
      <c r="P23" s="1"/>
      <c r="Q23" s="1"/>
      <c r="R23" s="1"/>
      <c r="S23" s="1"/>
      <c r="T23" s="38"/>
      <c r="U23" s="1"/>
      <c r="V23" s="1"/>
      <c r="W23" s="1"/>
      <c r="X23" s="1"/>
      <c r="Y23" s="1"/>
      <c r="Z23" s="1"/>
    </row>
    <row r="24" ht="27.75" customHeight="1">
      <c r="A24" s="1"/>
      <c r="B24" s="39"/>
      <c r="C24" s="40"/>
      <c r="D24" s="41"/>
      <c r="E24" s="42"/>
      <c r="F24" s="42"/>
      <c r="G24" s="1"/>
      <c r="H24" s="1"/>
      <c r="I24" s="1"/>
      <c r="J24" s="1"/>
      <c r="K24" s="38"/>
      <c r="L24" s="1"/>
      <c r="M24" s="1"/>
      <c r="N24" s="1"/>
      <c r="O24" s="1"/>
      <c r="P24" s="1"/>
      <c r="Q24" s="1"/>
      <c r="R24" s="1"/>
      <c r="S24" s="1"/>
      <c r="T24" s="38"/>
      <c r="U24" s="1"/>
      <c r="V24" s="1"/>
      <c r="W24" s="1"/>
      <c r="X24" s="1"/>
      <c r="Y24" s="1"/>
      <c r="Z24" s="1"/>
    </row>
    <row r="25" ht="27.75" customHeight="1">
      <c r="A25" s="1"/>
      <c r="B25" s="27"/>
      <c r="C25" s="43"/>
      <c r="D25" s="30"/>
      <c r="E25" s="29"/>
      <c r="F25" s="29"/>
      <c r="G25" s="1"/>
      <c r="H25" s="1"/>
      <c r="I25" s="1"/>
      <c r="J25" s="1"/>
      <c r="K25" s="38"/>
      <c r="L25" s="1"/>
      <c r="M25" s="1"/>
      <c r="N25" s="1"/>
      <c r="O25" s="1"/>
      <c r="P25" s="1"/>
      <c r="Q25" s="1"/>
      <c r="R25" s="1"/>
      <c r="S25" s="1"/>
      <c r="T25" s="38"/>
      <c r="U25" s="1"/>
      <c r="V25" s="1"/>
      <c r="W25" s="1"/>
      <c r="X25" s="1"/>
      <c r="Y25" s="1"/>
      <c r="Z25" s="1"/>
    </row>
    <row r="26" ht="27.75" customHeight="1">
      <c r="A26" s="1"/>
      <c r="B26" s="27"/>
      <c r="C26" s="43"/>
      <c r="D26" s="30"/>
      <c r="E26" s="29"/>
      <c r="F26" s="29"/>
      <c r="G26" s="1"/>
      <c r="H26" s="1"/>
      <c r="I26" s="1"/>
      <c r="J26" s="1"/>
      <c r="K26" s="38"/>
      <c r="L26" s="1"/>
      <c r="M26" s="1"/>
      <c r="N26" s="1"/>
      <c r="O26" s="1"/>
      <c r="P26" s="1"/>
      <c r="Q26" s="1"/>
      <c r="R26" s="1"/>
      <c r="S26" s="1"/>
      <c r="T26" s="38"/>
      <c r="U26" s="1"/>
      <c r="V26" s="1"/>
      <c r="W26" s="1"/>
      <c r="X26" s="1"/>
      <c r="Y26" s="1"/>
      <c r="Z26" s="1"/>
    </row>
    <row r="27" ht="27.75" customHeight="1">
      <c r="A27" s="1"/>
      <c r="B27" s="27"/>
      <c r="C27" s="43"/>
      <c r="D27" s="30"/>
      <c r="E27" s="29"/>
      <c r="F27" s="29"/>
      <c r="G27" s="1"/>
      <c r="H27" s="1"/>
      <c r="I27" s="1"/>
      <c r="J27" s="1"/>
      <c r="K27" s="38"/>
      <c r="L27" s="1"/>
      <c r="M27" s="1"/>
      <c r="N27" s="1"/>
      <c r="O27" s="1"/>
      <c r="P27" s="1"/>
      <c r="Q27" s="1"/>
      <c r="R27" s="1"/>
      <c r="S27" s="1"/>
      <c r="T27" s="38"/>
      <c r="U27" s="1"/>
      <c r="V27" s="1"/>
      <c r="W27" s="1"/>
      <c r="X27" s="1"/>
      <c r="Y27" s="1"/>
      <c r="Z27" s="1"/>
    </row>
    <row r="28" ht="27.75" customHeight="1">
      <c r="A28" s="1"/>
      <c r="B28" s="44"/>
      <c r="C28" s="45" t="s">
        <v>28</v>
      </c>
      <c r="D28" s="46"/>
      <c r="E28" s="47"/>
      <c r="F28" s="48">
        <f>SUM(F16:F27)</f>
        <v>20</v>
      </c>
      <c r="G28" s="1"/>
      <c r="H28" s="20"/>
      <c r="I28" s="1"/>
      <c r="J28" s="1"/>
      <c r="K28" s="38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75" customHeight="1">
      <c r="A29" s="1"/>
      <c r="B29" s="1"/>
      <c r="C29" s="1"/>
      <c r="D29" s="2"/>
      <c r="E29" s="3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75" customHeight="1">
      <c r="A30" s="1"/>
      <c r="B30" s="1"/>
      <c r="C30" s="1"/>
      <c r="D30" s="2"/>
      <c r="E30" s="3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75" customHeight="1">
      <c r="A31" s="20" t="s">
        <v>29</v>
      </c>
      <c r="B31" s="49"/>
      <c r="C31" s="32" t="s">
        <v>30</v>
      </c>
      <c r="D31" s="6"/>
      <c r="E31" s="7"/>
      <c r="F31" s="33">
        <f>G12+F28</f>
        <v>23</v>
      </c>
      <c r="G31" s="1"/>
      <c r="H31" s="20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75" customHeight="1">
      <c r="A32" s="1"/>
      <c r="B32" s="1"/>
      <c r="C32" s="1"/>
      <c r="D32" s="2"/>
      <c r="E32" s="3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75" customHeight="1">
      <c r="A33" s="1"/>
      <c r="B33" s="3"/>
      <c r="C33" s="1"/>
      <c r="D33" s="2"/>
      <c r="E33" s="3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75" customHeight="1">
      <c r="A34" s="20" t="s">
        <v>31</v>
      </c>
      <c r="B34" s="22" t="s">
        <v>32</v>
      </c>
      <c r="C34" s="22" t="s">
        <v>33</v>
      </c>
      <c r="D34" s="21" t="s">
        <v>34</v>
      </c>
      <c r="E34" s="21" t="s">
        <v>9</v>
      </c>
      <c r="F34" s="21" t="s">
        <v>35</v>
      </c>
      <c r="G34" s="21" t="s">
        <v>36</v>
      </c>
      <c r="H34" s="1" t="s">
        <v>37</v>
      </c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27.75" customHeight="1">
      <c r="A35" s="1"/>
      <c r="B35" s="50" t="s">
        <v>38</v>
      </c>
      <c r="C35" s="50" t="s">
        <v>39</v>
      </c>
      <c r="D35" s="23" t="s">
        <v>40</v>
      </c>
      <c r="E35" s="51">
        <v>2.0</v>
      </c>
      <c r="F35" s="26">
        <v>0.0</v>
      </c>
      <c r="G35" s="51">
        <v>0.0</v>
      </c>
      <c r="H35" s="52" t="s">
        <v>41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50" t="s">
        <v>42</v>
      </c>
      <c r="C36" s="50" t="s">
        <v>39</v>
      </c>
      <c r="D36" s="27" t="s">
        <v>43</v>
      </c>
      <c r="E36" s="53">
        <v>2.0</v>
      </c>
      <c r="F36" s="30">
        <v>5.0</v>
      </c>
      <c r="G36" s="53">
        <v>10.0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75" customHeight="1">
      <c r="A37" s="1"/>
      <c r="B37" s="50" t="s">
        <v>44</v>
      </c>
      <c r="C37" s="50" t="s">
        <v>39</v>
      </c>
      <c r="D37" s="54"/>
      <c r="E37" s="53">
        <v>1.0</v>
      </c>
      <c r="F37" s="30">
        <v>4.0</v>
      </c>
      <c r="G37" s="53">
        <v>4.0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50" t="s">
        <v>45</v>
      </c>
      <c r="C38" s="50" t="s">
        <v>39</v>
      </c>
      <c r="D38" s="27" t="s">
        <v>46</v>
      </c>
      <c r="E38" s="53">
        <v>1.0</v>
      </c>
      <c r="F38" s="30">
        <v>4.0</v>
      </c>
      <c r="G38" s="53">
        <v>4.0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75" customHeight="1">
      <c r="A39" s="1"/>
      <c r="B39" s="50" t="s">
        <v>47</v>
      </c>
      <c r="C39" s="50" t="s">
        <v>39</v>
      </c>
      <c r="D39" s="27" t="s">
        <v>48</v>
      </c>
      <c r="E39" s="53">
        <v>1.0</v>
      </c>
      <c r="F39" s="30">
        <v>0.0</v>
      </c>
      <c r="G39" s="53">
        <v>0.0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75" customHeight="1">
      <c r="A40" s="1"/>
      <c r="B40" s="50" t="s">
        <v>49</v>
      </c>
      <c r="C40" s="50" t="s">
        <v>39</v>
      </c>
      <c r="D40" s="27" t="s">
        <v>50</v>
      </c>
      <c r="E40" s="53">
        <v>0.5</v>
      </c>
      <c r="F40" s="30">
        <v>5.0</v>
      </c>
      <c r="G40" s="53">
        <v>2.5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75" customHeight="1">
      <c r="A41" s="1"/>
      <c r="B41" s="50" t="s">
        <v>51</v>
      </c>
      <c r="C41" s="50" t="s">
        <v>39</v>
      </c>
      <c r="D41" s="27" t="s">
        <v>52</v>
      </c>
      <c r="E41" s="53">
        <v>0.5</v>
      </c>
      <c r="F41" s="30">
        <v>5.0</v>
      </c>
      <c r="G41" s="53">
        <v>2.5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75" customHeight="1">
      <c r="A42" s="1"/>
      <c r="B42" s="50" t="s">
        <v>53</v>
      </c>
      <c r="C42" s="50" t="s">
        <v>39</v>
      </c>
      <c r="D42" s="27" t="s">
        <v>54</v>
      </c>
      <c r="E42" s="53">
        <v>2.0</v>
      </c>
      <c r="F42" s="30">
        <v>3.0</v>
      </c>
      <c r="G42" s="53">
        <v>6.0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75" customHeight="1">
      <c r="A43" s="1"/>
      <c r="B43" s="50" t="s">
        <v>55</v>
      </c>
      <c r="C43" s="50" t="s">
        <v>39</v>
      </c>
      <c r="D43" s="27" t="s">
        <v>56</v>
      </c>
      <c r="E43" s="53">
        <v>1.0</v>
      </c>
      <c r="F43" s="30">
        <v>1.0</v>
      </c>
      <c r="G43" s="53">
        <v>1.0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75" customHeight="1">
      <c r="A44" s="1"/>
      <c r="B44" s="50" t="s">
        <v>57</v>
      </c>
      <c r="C44" s="50" t="s">
        <v>39</v>
      </c>
      <c r="D44" s="27" t="s">
        <v>58</v>
      </c>
      <c r="E44" s="53">
        <v>1.0</v>
      </c>
      <c r="F44" s="30">
        <v>5.0</v>
      </c>
      <c r="G44" s="53">
        <v>5.0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50" t="s">
        <v>59</v>
      </c>
      <c r="C45" s="50" t="s">
        <v>39</v>
      </c>
      <c r="D45" s="27" t="s">
        <v>60</v>
      </c>
      <c r="E45" s="53">
        <v>1.0</v>
      </c>
      <c r="F45" s="30">
        <v>5.0</v>
      </c>
      <c r="G45" s="53">
        <v>5.0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50" t="s">
        <v>61</v>
      </c>
      <c r="C46" s="50" t="s">
        <v>39</v>
      </c>
      <c r="D46" s="27" t="s">
        <v>62</v>
      </c>
      <c r="E46" s="53">
        <v>1.0</v>
      </c>
      <c r="F46" s="30">
        <v>4.0</v>
      </c>
      <c r="G46" s="53">
        <v>4.0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50" t="s">
        <v>63</v>
      </c>
      <c r="C47" s="50" t="s">
        <v>39</v>
      </c>
      <c r="D47" s="27" t="s">
        <v>64</v>
      </c>
      <c r="E47" s="53">
        <v>1.0</v>
      </c>
      <c r="F47" s="30">
        <v>3.0</v>
      </c>
      <c r="G47" s="53">
        <v>3.0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75" customHeight="1">
      <c r="A48" s="1"/>
      <c r="B48" s="32" t="s">
        <v>65</v>
      </c>
      <c r="C48" s="6"/>
      <c r="D48" s="6"/>
      <c r="E48" s="6"/>
      <c r="F48" s="7"/>
      <c r="G48" s="55">
        <f>SUM(G35:G47)</f>
        <v>47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75" customHeight="1">
      <c r="A49" s="1"/>
      <c r="B49" s="32" t="s">
        <v>66</v>
      </c>
      <c r="C49" s="6"/>
      <c r="D49" s="6"/>
      <c r="E49" s="6"/>
      <c r="F49" s="7"/>
      <c r="G49" s="48">
        <f>0.6+(0.01*G48)</f>
        <v>1.07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75" customHeight="1">
      <c r="A50" s="1"/>
      <c r="B50" s="34"/>
      <c r="C50" s="3"/>
      <c r="D50" s="3"/>
      <c r="E50" s="3"/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75" customHeight="1">
      <c r="A51" s="1"/>
      <c r="B51" s="56"/>
      <c r="C51" s="56"/>
      <c r="D51" s="57"/>
      <c r="E51" s="56"/>
      <c r="F51" s="56"/>
      <c r="G51" s="56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20" t="s">
        <v>67</v>
      </c>
      <c r="B52" s="22" t="s">
        <v>68</v>
      </c>
      <c r="C52" s="22" t="s">
        <v>69</v>
      </c>
      <c r="D52" s="21" t="s">
        <v>70</v>
      </c>
      <c r="E52" s="21" t="s">
        <v>9</v>
      </c>
      <c r="F52" s="21" t="s">
        <v>35</v>
      </c>
      <c r="G52" s="21" t="s">
        <v>36</v>
      </c>
      <c r="H52" s="1" t="s">
        <v>71</v>
      </c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5.75" customHeight="1">
      <c r="A53" s="1"/>
      <c r="B53" s="58" t="s">
        <v>72</v>
      </c>
      <c r="C53" s="50" t="s">
        <v>73</v>
      </c>
      <c r="D53" s="23" t="s">
        <v>74</v>
      </c>
      <c r="E53" s="51" t="s">
        <v>75</v>
      </c>
      <c r="F53" s="26">
        <v>3.0</v>
      </c>
      <c r="G53" s="51" t="s">
        <v>76</v>
      </c>
      <c r="H53" s="52" t="s">
        <v>41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58" t="s">
        <v>77</v>
      </c>
      <c r="C54" s="50" t="s">
        <v>73</v>
      </c>
      <c r="D54" s="27" t="s">
        <v>78</v>
      </c>
      <c r="E54" s="53" t="s">
        <v>79</v>
      </c>
      <c r="F54" s="30">
        <v>4.0</v>
      </c>
      <c r="G54" s="53">
        <v>2.0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58" t="s">
        <v>80</v>
      </c>
      <c r="C55" s="50" t="s">
        <v>73</v>
      </c>
      <c r="D55" s="27" t="s">
        <v>81</v>
      </c>
      <c r="E55" s="53">
        <v>1.0</v>
      </c>
      <c r="F55" s="30">
        <v>4.0</v>
      </c>
      <c r="G55" s="53">
        <v>4.0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58" t="s">
        <v>82</v>
      </c>
      <c r="C56" s="50" t="s">
        <v>73</v>
      </c>
      <c r="D56" s="27" t="s">
        <v>83</v>
      </c>
      <c r="E56" s="53" t="s">
        <v>79</v>
      </c>
      <c r="F56" s="30">
        <v>3.0</v>
      </c>
      <c r="G56" s="53" t="s">
        <v>75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75" customHeight="1">
      <c r="A57" s="1"/>
      <c r="B57" s="58" t="s">
        <v>84</v>
      </c>
      <c r="C57" s="50" t="s">
        <v>85</v>
      </c>
      <c r="D57" s="27" t="s">
        <v>86</v>
      </c>
      <c r="E57" s="53">
        <v>1.0</v>
      </c>
      <c r="F57" s="30">
        <v>4.0</v>
      </c>
      <c r="G57" s="53">
        <v>4.0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58" t="s">
        <v>87</v>
      </c>
      <c r="C58" s="50" t="s">
        <v>88</v>
      </c>
      <c r="D58" s="27" t="s">
        <v>89</v>
      </c>
      <c r="E58" s="53">
        <v>2.0</v>
      </c>
      <c r="F58" s="30">
        <v>2.0</v>
      </c>
      <c r="G58" s="53">
        <v>4.0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58" t="s">
        <v>90</v>
      </c>
      <c r="C59" s="50" t="s">
        <v>91</v>
      </c>
      <c r="D59" s="27" t="s">
        <v>92</v>
      </c>
      <c r="E59" s="53">
        <v>-1.0</v>
      </c>
      <c r="F59" s="30">
        <v>4.0</v>
      </c>
      <c r="G59" s="53">
        <v>-4.0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58" t="s">
        <v>93</v>
      </c>
      <c r="C60" s="50" t="s">
        <v>94</v>
      </c>
      <c r="D60" s="27" t="s">
        <v>95</v>
      </c>
      <c r="E60" s="53">
        <v>-1.0</v>
      </c>
      <c r="F60" s="30">
        <v>4.0</v>
      </c>
      <c r="G60" s="53">
        <v>-4.0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75" customHeight="1">
      <c r="A61" s="1"/>
      <c r="B61" s="32" t="s">
        <v>96</v>
      </c>
      <c r="C61" s="6"/>
      <c r="D61" s="6"/>
      <c r="E61" s="6"/>
      <c r="F61" s="7"/>
      <c r="G61" s="21">
        <f>SUM(G53:G60)</f>
        <v>6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75" customHeight="1">
      <c r="A62" s="1"/>
      <c r="B62" s="32" t="s">
        <v>97</v>
      </c>
      <c r="C62" s="6"/>
      <c r="D62" s="6"/>
      <c r="E62" s="6"/>
      <c r="F62" s="7"/>
      <c r="G62" s="21">
        <f>1.4 + (-0.03*G61)</f>
        <v>1.22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75" customHeight="1">
      <c r="A63" s="1"/>
      <c r="B63" s="32"/>
      <c r="C63" s="59"/>
      <c r="D63" s="60"/>
      <c r="E63" s="59"/>
      <c r="F63" s="61" t="s">
        <v>98</v>
      </c>
      <c r="G63" s="21">
        <f>COUNTIF($F$53:$F$58,"&lt;3")+COUNTIF($F$59:$F$60,"&gt;3")</f>
        <v>3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75" customHeight="1">
      <c r="A64" s="1"/>
      <c r="B64" s="34"/>
      <c r="C64" s="3"/>
      <c r="D64" s="3"/>
      <c r="E64" s="3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75" customHeight="1">
      <c r="A65" s="1"/>
      <c r="B65" s="1"/>
      <c r="C65" s="1"/>
      <c r="D65" s="2"/>
      <c r="E65" s="3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75" customHeight="1">
      <c r="A66" s="20" t="s">
        <v>99</v>
      </c>
      <c r="B66" s="62" t="s">
        <v>100</v>
      </c>
      <c r="C66" s="6"/>
      <c r="D66" s="6"/>
      <c r="E66" s="6"/>
      <c r="F66" s="7"/>
      <c r="G66" s="63">
        <f>F31*G49*G62</f>
        <v>30.0242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75" customHeight="1">
      <c r="A67" s="1"/>
      <c r="B67" s="1"/>
      <c r="C67" s="1"/>
      <c r="D67" s="2"/>
      <c r="E67" s="3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1"/>
      <c r="B68" s="1"/>
      <c r="C68" s="1"/>
      <c r="D68" s="2"/>
      <c r="E68" s="3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64" t="s">
        <v>101</v>
      </c>
      <c r="B69" s="22" t="s">
        <v>102</v>
      </c>
      <c r="C69" s="22" t="s">
        <v>103</v>
      </c>
      <c r="D69" s="22" t="s">
        <v>104</v>
      </c>
      <c r="E69" s="3"/>
      <c r="F69" s="1"/>
      <c r="G69" s="22" t="s">
        <v>105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A70" s="1"/>
      <c r="B70" s="65">
        <v>20.0</v>
      </c>
      <c r="C70" s="65">
        <f>IF($G$63&gt;=5,36,IF(AND(G$63&gt;2,$G$63&lt;=4),28, IF(AND($G$63&gt;=0,$G$63&lt;=2),20,"error")))</f>
        <v>28</v>
      </c>
      <c r="D70" s="66">
        <f>IF($G$63&gt;=5,$G$70*(36/20),IF(AND($G$63&gt;2,$G$63&lt;=4),$G$70*(28/20), IF(AND($G$63&gt;=0,$G$63&lt;=2),$G$70,"error")))</f>
        <v>2.8</v>
      </c>
      <c r="E70" s="3"/>
      <c r="F70" s="1"/>
      <c r="G70" s="67">
        <v>2.0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A71" s="1"/>
      <c r="B71" s="68" t="s">
        <v>106</v>
      </c>
      <c r="C71" s="6"/>
      <c r="D71" s="7"/>
      <c r="E71" s="3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75" customHeight="1">
      <c r="A72" s="69" t="s">
        <v>107</v>
      </c>
      <c r="B72" s="65">
        <f t="shared" ref="B72:D72" si="1">$G$66*B70</f>
        <v>600.484</v>
      </c>
      <c r="C72" s="65">
        <f t="shared" si="1"/>
        <v>840.6776</v>
      </c>
      <c r="D72" s="65">
        <f t="shared" si="1"/>
        <v>84.06776</v>
      </c>
      <c r="E72" s="3"/>
      <c r="F72" s="1"/>
      <c r="G72" s="22" t="s">
        <v>108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75" customHeight="1">
      <c r="A73" s="69" t="s">
        <v>109</v>
      </c>
      <c r="B73" s="70">
        <f>B72/(22*G73)</f>
        <v>13.64736364</v>
      </c>
      <c r="C73" s="70">
        <f>C72/(22*G73)</f>
        <v>19.10630909</v>
      </c>
      <c r="D73" s="71">
        <f>D72/(22*G73)</f>
        <v>1.910630909</v>
      </c>
      <c r="E73" s="3"/>
      <c r="F73" s="1"/>
      <c r="G73" s="67">
        <v>2.0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75" customHeight="1">
      <c r="A74" s="1"/>
      <c r="B74" s="1"/>
      <c r="C74" s="1"/>
      <c r="D74" s="2"/>
      <c r="E74" s="3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75" customHeight="1">
      <c r="A75" s="1"/>
      <c r="B75" s="1"/>
      <c r="C75" s="1"/>
      <c r="D75" s="2"/>
      <c r="E75" s="3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75" customHeight="1">
      <c r="A76" s="20" t="s">
        <v>110</v>
      </c>
      <c r="B76" s="72" t="s">
        <v>111</v>
      </c>
      <c r="C76" s="73"/>
      <c r="D76" s="60"/>
      <c r="E76" s="59"/>
      <c r="F76" s="74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1"/>
      <c r="B77" s="49" t="s">
        <v>112</v>
      </c>
      <c r="C77" s="21" t="s">
        <v>113</v>
      </c>
      <c r="D77" s="63" t="s">
        <v>114</v>
      </c>
      <c r="E77" s="63" t="s">
        <v>115</v>
      </c>
      <c r="F77" s="63" t="s">
        <v>116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1"/>
      <c r="B78" s="75" t="s">
        <v>117</v>
      </c>
      <c r="C78" s="76">
        <v>0.4</v>
      </c>
      <c r="D78" s="70">
        <f t="shared" ref="D78:F78" si="2">+B72</f>
        <v>600.484</v>
      </c>
      <c r="E78" s="70">
        <f t="shared" si="2"/>
        <v>840.6776</v>
      </c>
      <c r="F78" s="70">
        <f t="shared" si="2"/>
        <v>84.06776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75" customHeight="1">
      <c r="A79" s="1"/>
      <c r="B79" s="75" t="s">
        <v>118</v>
      </c>
      <c r="C79" s="76">
        <f>1-C78</f>
        <v>0.6</v>
      </c>
      <c r="D79" s="65">
        <f t="shared" ref="D79:F79" si="3">+D78*1.5</f>
        <v>900.726</v>
      </c>
      <c r="E79" s="65">
        <f t="shared" si="3"/>
        <v>1261.0164</v>
      </c>
      <c r="F79" s="65">
        <f t="shared" si="3"/>
        <v>126.10164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75" customHeight="1">
      <c r="A80" s="1"/>
      <c r="B80" s="77"/>
      <c r="C80" s="76">
        <f>SUM(C78:C79)</f>
        <v>1</v>
      </c>
      <c r="D80" s="70">
        <f t="shared" ref="D80:F80" si="4">+D78+D79</f>
        <v>1501.21</v>
      </c>
      <c r="E80" s="70">
        <f t="shared" si="4"/>
        <v>2101.694</v>
      </c>
      <c r="F80" s="70">
        <f t="shared" si="4"/>
        <v>210.1694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75" customHeight="1">
      <c r="A81" s="1"/>
      <c r="B81" s="1"/>
      <c r="C81" s="1"/>
      <c r="D81" s="1"/>
      <c r="E81" s="3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75" customHeight="1">
      <c r="A82" s="20" t="s">
        <v>119</v>
      </c>
      <c r="B82" s="72" t="s">
        <v>120</v>
      </c>
      <c r="C82" s="73"/>
      <c r="D82" s="60"/>
      <c r="E82" s="59"/>
      <c r="F82" s="74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75" customHeight="1">
      <c r="A83" s="1"/>
      <c r="B83" s="49" t="s">
        <v>112</v>
      </c>
      <c r="C83" s="21" t="s">
        <v>113</v>
      </c>
      <c r="D83" s="63" t="s">
        <v>121</v>
      </c>
      <c r="E83" s="63" t="s">
        <v>122</v>
      </c>
      <c r="F83" s="63" t="s">
        <v>123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75" customHeight="1">
      <c r="A84" s="1"/>
      <c r="B84" s="75" t="s">
        <v>117</v>
      </c>
      <c r="C84" s="76">
        <v>0.4</v>
      </c>
      <c r="D84" s="70">
        <f t="shared" ref="D84:F84" si="5">$C84/$C$84*B$73</f>
        <v>13.64736364</v>
      </c>
      <c r="E84" s="70">
        <f t="shared" si="5"/>
        <v>19.10630909</v>
      </c>
      <c r="F84" s="70">
        <f t="shared" si="5"/>
        <v>1.910630909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75" customHeight="1">
      <c r="A85" s="1"/>
      <c r="B85" s="75" t="s">
        <v>118</v>
      </c>
      <c r="C85" s="76">
        <f>1-C84</f>
        <v>0.6</v>
      </c>
      <c r="D85" s="65">
        <f t="shared" ref="D85:F85" si="6">$C85/$C$84*B$73</f>
        <v>20.47104545</v>
      </c>
      <c r="E85" s="65">
        <f t="shared" si="6"/>
        <v>28.65946364</v>
      </c>
      <c r="F85" s="65">
        <f t="shared" si="6"/>
        <v>2.865946364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75" customHeight="1">
      <c r="A86" s="1"/>
      <c r="B86" s="77"/>
      <c r="C86" s="76">
        <f>SUM(C84:C85)</f>
        <v>1</v>
      </c>
      <c r="D86" s="70">
        <f t="shared" ref="D86:F86" si="7">$C86/$C$84*B$73</f>
        <v>34.11840909</v>
      </c>
      <c r="E86" s="70">
        <f t="shared" si="7"/>
        <v>47.76577273</v>
      </c>
      <c r="F86" s="70">
        <f t="shared" si="7"/>
        <v>4.776577273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75" customHeight="1">
      <c r="A87" s="1"/>
      <c r="B87" s="1"/>
      <c r="C87" s="1"/>
      <c r="D87" s="2"/>
      <c r="E87" s="3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75" customHeight="1">
      <c r="A88" s="20" t="s">
        <v>124</v>
      </c>
      <c r="B88" s="78">
        <v>5.0</v>
      </c>
      <c r="C88" s="1"/>
      <c r="D88" s="2"/>
      <c r="E88" s="3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75" customHeight="1">
      <c r="A89" s="1"/>
      <c r="B89" s="1"/>
      <c r="C89" s="1"/>
      <c r="D89" s="2"/>
      <c r="E89" s="3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75" customHeight="1">
      <c r="A90" s="20" t="s">
        <v>125</v>
      </c>
      <c r="B90" s="63" t="s">
        <v>126</v>
      </c>
      <c r="C90" s="63" t="s">
        <v>127</v>
      </c>
      <c r="D90" s="63" t="s">
        <v>128</v>
      </c>
      <c r="E90" s="3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75" customHeight="1">
      <c r="A91" s="79"/>
      <c r="B91" s="80">
        <f>$D$86/$B$88</f>
        <v>6.823681818</v>
      </c>
      <c r="C91" s="80">
        <f>$E$86/$B$88</f>
        <v>9.553154545</v>
      </c>
      <c r="D91" s="80">
        <f>$F$86/$B$88</f>
        <v>0.9553154545</v>
      </c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</row>
    <row r="92" ht="15.75" customHeight="1">
      <c r="A92" s="79"/>
      <c r="B92" s="79"/>
      <c r="C92" s="79"/>
      <c r="D92" s="79"/>
      <c r="E92" s="81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</row>
    <row r="93" ht="15.75" customHeight="1">
      <c r="A93" s="79"/>
      <c r="B93" s="79"/>
      <c r="C93" s="79"/>
      <c r="D93" s="79"/>
      <c r="E93" s="81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</row>
    <row r="94" ht="15.75" customHeight="1">
      <c r="A94" s="79"/>
      <c r="B94" s="79"/>
      <c r="C94" s="79"/>
      <c r="D94" s="79"/>
      <c r="E94" s="81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</row>
    <row r="95" ht="15.75" customHeight="1">
      <c r="A95" s="79"/>
      <c r="B95" s="79"/>
      <c r="C95" s="79"/>
      <c r="D95" s="79"/>
      <c r="E95" s="81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 ht="15.75" customHeight="1">
      <c r="A96" s="79"/>
      <c r="B96" s="79"/>
      <c r="C96" s="79"/>
      <c r="D96" s="79"/>
      <c r="E96" s="81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</row>
    <row r="97" ht="15.75" customHeight="1">
      <c r="A97" s="79"/>
      <c r="B97" s="79"/>
      <c r="C97" s="79"/>
      <c r="D97" s="79"/>
      <c r="E97" s="81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 ht="15.75" customHeight="1">
      <c r="A98" s="79"/>
      <c r="B98" s="79"/>
      <c r="C98" s="79"/>
      <c r="D98" s="79"/>
      <c r="E98" s="81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 ht="15.75" customHeight="1">
      <c r="A99" s="79"/>
      <c r="B99" s="79"/>
      <c r="C99" s="79"/>
      <c r="D99" s="79"/>
      <c r="E99" s="81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 ht="15.75" customHeight="1">
      <c r="A100" s="79"/>
      <c r="B100" s="79"/>
      <c r="C100" s="79"/>
      <c r="D100" s="79"/>
      <c r="E100" s="81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  <row r="101" ht="15.75" customHeight="1">
      <c r="A101" s="79"/>
      <c r="B101" s="79"/>
      <c r="C101" s="79"/>
      <c r="D101" s="79"/>
      <c r="E101" s="81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 ht="15.75" customHeight="1">
      <c r="A102" s="79"/>
      <c r="B102" s="79"/>
      <c r="C102" s="79"/>
      <c r="D102" s="79"/>
      <c r="E102" s="81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 ht="15.75" customHeight="1">
      <c r="A103" s="79"/>
      <c r="B103" s="79"/>
      <c r="C103" s="79"/>
      <c r="D103" s="79"/>
      <c r="E103" s="81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 ht="15.75" customHeight="1">
      <c r="A104" s="79"/>
      <c r="B104" s="79"/>
      <c r="C104" s="79"/>
      <c r="D104" s="79"/>
      <c r="E104" s="81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</row>
    <row r="105" ht="15.75" customHeight="1">
      <c r="A105" s="79"/>
      <c r="B105" s="79"/>
      <c r="C105" s="79"/>
      <c r="D105" s="79"/>
      <c r="E105" s="81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</row>
    <row r="106" ht="15.75" customHeight="1">
      <c r="A106" s="79"/>
      <c r="B106" s="79"/>
      <c r="C106" s="79"/>
      <c r="D106" s="79"/>
      <c r="E106" s="81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</row>
    <row r="107" ht="15.75" customHeight="1">
      <c r="A107" s="79"/>
      <c r="B107" s="79"/>
      <c r="C107" s="79"/>
      <c r="D107" s="79"/>
      <c r="E107" s="81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</row>
    <row r="108" ht="15.75" customHeight="1">
      <c r="A108" s="1"/>
      <c r="B108" s="1"/>
      <c r="C108" s="1"/>
      <c r="D108" s="2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2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2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2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2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2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2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2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2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2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2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2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2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2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2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2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2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2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2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2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2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2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2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2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2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2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2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2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2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2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2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2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2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2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2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2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2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2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2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2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2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2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2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2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2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2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2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2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2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2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2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2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2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2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2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2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2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2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2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2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2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2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2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2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2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2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2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2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2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2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2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2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2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2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2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2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2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2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2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2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2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2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2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2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2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2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2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2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2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2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2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2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2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2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2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2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2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2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2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2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2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2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2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2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2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2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2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2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2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2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2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2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2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2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2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2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2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2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2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2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2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2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2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2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2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2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2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2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2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2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2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2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2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2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2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2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2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2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2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2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2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2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2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2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2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2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2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2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2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2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2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2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2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2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2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2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2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2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2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2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2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2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2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2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2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2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2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2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2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2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2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2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2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2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2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2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2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2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2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2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2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2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2"/>
      <c r="E290" s="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2"/>
      <c r="E291" s="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2"/>
      <c r="E292" s="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2"/>
      <c r="E293" s="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2"/>
      <c r="E294" s="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2"/>
      <c r="E295" s="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2"/>
      <c r="E296" s="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2"/>
      <c r="E297" s="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2"/>
      <c r="E298" s="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2"/>
      <c r="E299" s="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2"/>
      <c r="E300" s="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2"/>
      <c r="E301" s="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2"/>
      <c r="E302" s="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2"/>
      <c r="E303" s="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2"/>
      <c r="E304" s="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2"/>
      <c r="E305" s="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2"/>
      <c r="E306" s="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2"/>
      <c r="E307" s="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2"/>
      <c r="E308" s="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2"/>
      <c r="E309" s="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2"/>
      <c r="E310" s="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2"/>
      <c r="E311" s="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2"/>
      <c r="E312" s="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2"/>
      <c r="E313" s="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2"/>
      <c r="E314" s="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2"/>
      <c r="E315" s="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2"/>
      <c r="E316" s="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2"/>
      <c r="E317" s="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2"/>
      <c r="E318" s="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2"/>
      <c r="E319" s="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2"/>
      <c r="E320" s="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2"/>
      <c r="E321" s="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2"/>
      <c r="E322" s="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2"/>
      <c r="E323" s="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2"/>
      <c r="E324" s="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2"/>
      <c r="E325" s="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2"/>
      <c r="E326" s="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2"/>
      <c r="E327" s="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2"/>
      <c r="E328" s="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2"/>
      <c r="E329" s="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2"/>
      <c r="E330" s="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2"/>
      <c r="E331" s="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2"/>
      <c r="E332" s="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2"/>
      <c r="E333" s="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2"/>
      <c r="E334" s="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2"/>
      <c r="E335" s="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2"/>
      <c r="E336" s="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2"/>
      <c r="E337" s="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2"/>
      <c r="E338" s="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2"/>
      <c r="E339" s="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2"/>
      <c r="E340" s="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2"/>
      <c r="E341" s="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2"/>
      <c r="E342" s="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2"/>
      <c r="E343" s="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2"/>
      <c r="E344" s="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2"/>
      <c r="E345" s="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2"/>
      <c r="E346" s="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2"/>
      <c r="E347" s="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2"/>
      <c r="E348" s="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2"/>
      <c r="E349" s="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2"/>
      <c r="E350" s="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2"/>
      <c r="E351" s="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2"/>
      <c r="E352" s="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2"/>
      <c r="E353" s="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2"/>
      <c r="E354" s="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2"/>
      <c r="E355" s="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2"/>
      <c r="E356" s="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2"/>
      <c r="E357" s="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2"/>
      <c r="E358" s="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2"/>
      <c r="E359" s="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2"/>
      <c r="E360" s="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2"/>
      <c r="E361" s="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2"/>
      <c r="E362" s="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2"/>
      <c r="E363" s="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2"/>
      <c r="E364" s="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2"/>
      <c r="E365" s="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2"/>
      <c r="E366" s="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2"/>
      <c r="E367" s="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2"/>
      <c r="E368" s="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2"/>
      <c r="E369" s="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2"/>
      <c r="E370" s="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2"/>
      <c r="E371" s="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2"/>
      <c r="E372" s="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2"/>
      <c r="E373" s="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2"/>
      <c r="E374" s="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2"/>
      <c r="E375" s="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2"/>
      <c r="E376" s="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2"/>
      <c r="E377" s="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2"/>
      <c r="E378" s="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2"/>
      <c r="E379" s="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2"/>
      <c r="E380" s="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2"/>
      <c r="E381" s="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2"/>
      <c r="E382" s="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2"/>
      <c r="E383" s="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2"/>
      <c r="E384" s="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2"/>
      <c r="E385" s="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2"/>
      <c r="E386" s="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2"/>
      <c r="E387" s="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2"/>
      <c r="E388" s="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2"/>
      <c r="E389" s="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2"/>
      <c r="E390" s="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2"/>
      <c r="E391" s="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2"/>
      <c r="E392" s="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2"/>
      <c r="E393" s="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2"/>
      <c r="E394" s="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2"/>
      <c r="E395" s="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2"/>
      <c r="E396" s="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2"/>
      <c r="E397" s="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2"/>
      <c r="E398" s="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2"/>
      <c r="E399" s="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2"/>
      <c r="E400" s="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2"/>
      <c r="E401" s="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2"/>
      <c r="E402" s="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2"/>
      <c r="E403" s="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2"/>
      <c r="E404" s="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2"/>
      <c r="E405" s="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2"/>
      <c r="E406" s="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2"/>
      <c r="E407" s="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2"/>
      <c r="E408" s="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2"/>
      <c r="E409" s="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2"/>
      <c r="E410" s="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2"/>
      <c r="E411" s="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2"/>
      <c r="E412" s="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2"/>
      <c r="E413" s="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2"/>
      <c r="E414" s="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2"/>
      <c r="E415" s="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2"/>
      <c r="E416" s="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2"/>
      <c r="E417" s="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2"/>
      <c r="E418" s="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2"/>
      <c r="E419" s="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2"/>
      <c r="E420" s="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2"/>
      <c r="E421" s="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2"/>
      <c r="E422" s="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2"/>
      <c r="E423" s="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2"/>
      <c r="E424" s="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2"/>
      <c r="E425" s="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2"/>
      <c r="E426" s="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2"/>
      <c r="E427" s="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2"/>
      <c r="E428" s="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2"/>
      <c r="E429" s="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2"/>
      <c r="E430" s="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2"/>
      <c r="E431" s="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2"/>
      <c r="E432" s="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2"/>
      <c r="E433" s="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2"/>
      <c r="E434" s="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2"/>
      <c r="E435" s="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2"/>
      <c r="E436" s="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2"/>
      <c r="E437" s="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2"/>
      <c r="E438" s="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2"/>
      <c r="E439" s="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2"/>
      <c r="E440" s="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2"/>
      <c r="E441" s="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2"/>
      <c r="E442" s="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2"/>
      <c r="E443" s="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2"/>
      <c r="E444" s="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2"/>
      <c r="E445" s="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2"/>
      <c r="E446" s="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2"/>
      <c r="E447" s="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2"/>
      <c r="E448" s="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2"/>
      <c r="E449" s="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2"/>
      <c r="E450" s="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2"/>
      <c r="E451" s="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2"/>
      <c r="E452" s="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2"/>
      <c r="E453" s="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2"/>
      <c r="E454" s="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2"/>
      <c r="E455" s="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2"/>
      <c r="E456" s="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2"/>
      <c r="E457" s="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2"/>
      <c r="E458" s="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2"/>
      <c r="E459" s="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2"/>
      <c r="E460" s="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2"/>
      <c r="E461" s="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2"/>
      <c r="E462" s="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2"/>
      <c r="E463" s="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2"/>
      <c r="E464" s="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2"/>
      <c r="E465" s="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2"/>
      <c r="E466" s="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2"/>
      <c r="E467" s="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2"/>
      <c r="E468" s="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2"/>
      <c r="E469" s="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2"/>
      <c r="E470" s="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2"/>
      <c r="E471" s="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2"/>
      <c r="E472" s="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2"/>
      <c r="E473" s="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2"/>
      <c r="E474" s="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2"/>
      <c r="E475" s="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2"/>
      <c r="E476" s="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2"/>
      <c r="E477" s="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2"/>
      <c r="E478" s="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2"/>
      <c r="E479" s="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2"/>
      <c r="E480" s="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2"/>
      <c r="E481" s="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2"/>
      <c r="E482" s="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2"/>
      <c r="E483" s="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2"/>
      <c r="E484" s="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2"/>
      <c r="E485" s="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2"/>
      <c r="E486" s="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2"/>
      <c r="E487" s="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2"/>
      <c r="E488" s="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2"/>
      <c r="E489" s="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2"/>
      <c r="E490" s="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2"/>
      <c r="E491" s="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2"/>
      <c r="E492" s="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2"/>
      <c r="E493" s="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2"/>
      <c r="E494" s="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2"/>
      <c r="E495" s="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2"/>
      <c r="E496" s="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2"/>
      <c r="E497" s="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2"/>
      <c r="E498" s="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2"/>
      <c r="E499" s="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2"/>
      <c r="E500" s="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2"/>
      <c r="E501" s="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2"/>
      <c r="E502" s="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2"/>
      <c r="E503" s="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2"/>
      <c r="E504" s="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2"/>
      <c r="E505" s="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2"/>
      <c r="E506" s="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2"/>
      <c r="E507" s="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2"/>
      <c r="E508" s="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2"/>
      <c r="E509" s="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2"/>
      <c r="E510" s="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2"/>
      <c r="E511" s="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2"/>
      <c r="E512" s="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2"/>
      <c r="E513" s="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2"/>
      <c r="E514" s="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2"/>
      <c r="E515" s="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2"/>
      <c r="E516" s="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2"/>
      <c r="E517" s="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2"/>
      <c r="E518" s="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2"/>
      <c r="E519" s="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2"/>
      <c r="E520" s="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2"/>
      <c r="E521" s="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2"/>
      <c r="E522" s="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2"/>
      <c r="E523" s="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2"/>
      <c r="E524" s="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2"/>
      <c r="E525" s="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2"/>
      <c r="E526" s="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2"/>
      <c r="E527" s="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2"/>
      <c r="E528" s="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2"/>
      <c r="E529" s="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2"/>
      <c r="E530" s="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2"/>
      <c r="E531" s="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2"/>
      <c r="E532" s="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2"/>
      <c r="E533" s="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2"/>
      <c r="E534" s="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2"/>
      <c r="E535" s="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2"/>
      <c r="E536" s="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2"/>
      <c r="E537" s="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2"/>
      <c r="E538" s="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2"/>
      <c r="E539" s="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2"/>
      <c r="E540" s="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2"/>
      <c r="E541" s="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2"/>
      <c r="E542" s="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2"/>
      <c r="E543" s="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2"/>
      <c r="E544" s="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2"/>
      <c r="E545" s="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2"/>
      <c r="E546" s="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2"/>
      <c r="E547" s="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2"/>
      <c r="E548" s="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2"/>
      <c r="E549" s="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2"/>
      <c r="E550" s="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2"/>
      <c r="E551" s="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2"/>
      <c r="E552" s="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2"/>
      <c r="E553" s="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2"/>
      <c r="E554" s="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2"/>
      <c r="E555" s="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2"/>
      <c r="E556" s="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2"/>
      <c r="E557" s="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2"/>
      <c r="E558" s="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2"/>
      <c r="E559" s="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2"/>
      <c r="E560" s="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2"/>
      <c r="E561" s="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2"/>
      <c r="E562" s="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2"/>
      <c r="E563" s="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2"/>
      <c r="E564" s="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2"/>
      <c r="E565" s="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2"/>
      <c r="E566" s="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2"/>
      <c r="E567" s="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2"/>
      <c r="E568" s="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2"/>
      <c r="E569" s="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2"/>
      <c r="E570" s="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2"/>
      <c r="E571" s="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2"/>
      <c r="E572" s="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2"/>
      <c r="E573" s="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2"/>
      <c r="E574" s="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2"/>
      <c r="E575" s="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2"/>
      <c r="E576" s="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2"/>
      <c r="E577" s="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2"/>
      <c r="E578" s="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2"/>
      <c r="E579" s="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2"/>
      <c r="E580" s="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2"/>
      <c r="E581" s="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2"/>
      <c r="E582" s="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2"/>
      <c r="E583" s="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2"/>
      <c r="E584" s="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2"/>
      <c r="E585" s="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2"/>
      <c r="E586" s="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2"/>
      <c r="E587" s="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2"/>
      <c r="E588" s="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2"/>
      <c r="E589" s="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2"/>
      <c r="E590" s="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2"/>
      <c r="E591" s="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2"/>
      <c r="E592" s="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2"/>
      <c r="E593" s="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2"/>
      <c r="E594" s="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2"/>
      <c r="E595" s="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2"/>
      <c r="E596" s="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2"/>
      <c r="E597" s="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2"/>
      <c r="E598" s="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2"/>
      <c r="E599" s="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2"/>
      <c r="E600" s="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2"/>
      <c r="E601" s="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2"/>
      <c r="E602" s="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2"/>
      <c r="E603" s="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2"/>
      <c r="E604" s="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2"/>
      <c r="E605" s="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2"/>
      <c r="E606" s="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2"/>
      <c r="E607" s="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2"/>
      <c r="E608" s="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2"/>
      <c r="E609" s="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2"/>
      <c r="E610" s="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2"/>
      <c r="E611" s="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2"/>
      <c r="E612" s="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2"/>
      <c r="E613" s="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2"/>
      <c r="E614" s="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2"/>
      <c r="E615" s="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2"/>
      <c r="E616" s="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2"/>
      <c r="E617" s="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2"/>
      <c r="E618" s="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2"/>
      <c r="E619" s="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2"/>
      <c r="E620" s="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2"/>
      <c r="E621" s="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2"/>
      <c r="E622" s="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2"/>
      <c r="E623" s="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2"/>
      <c r="E624" s="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2"/>
      <c r="E625" s="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2"/>
      <c r="E626" s="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2"/>
      <c r="E627" s="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2"/>
      <c r="E628" s="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2"/>
      <c r="E629" s="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2"/>
      <c r="E630" s="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2"/>
      <c r="E631" s="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2"/>
      <c r="E632" s="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2"/>
      <c r="E633" s="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2"/>
      <c r="E634" s="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2"/>
      <c r="E635" s="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2"/>
      <c r="E636" s="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2"/>
      <c r="E637" s="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2"/>
      <c r="E638" s="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2"/>
      <c r="E639" s="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2"/>
      <c r="E640" s="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2"/>
      <c r="E641" s="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2"/>
      <c r="E642" s="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2"/>
      <c r="E643" s="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2"/>
      <c r="E644" s="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2"/>
      <c r="E645" s="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2"/>
      <c r="E646" s="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2"/>
      <c r="E647" s="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2"/>
      <c r="E648" s="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2"/>
      <c r="E649" s="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2"/>
      <c r="E650" s="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2"/>
      <c r="E651" s="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2"/>
      <c r="E652" s="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2"/>
      <c r="E653" s="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2"/>
      <c r="E654" s="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2"/>
      <c r="E655" s="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2"/>
      <c r="E656" s="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2"/>
      <c r="E657" s="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2"/>
      <c r="E658" s="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2"/>
      <c r="E659" s="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2"/>
      <c r="E660" s="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2"/>
      <c r="E661" s="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2"/>
      <c r="E662" s="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2"/>
      <c r="E663" s="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2"/>
      <c r="E664" s="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2"/>
      <c r="E665" s="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2"/>
      <c r="E666" s="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2"/>
      <c r="E667" s="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2"/>
      <c r="E668" s="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2"/>
      <c r="E669" s="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2"/>
      <c r="E670" s="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2"/>
      <c r="E671" s="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2"/>
      <c r="E672" s="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2"/>
      <c r="E673" s="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2"/>
      <c r="E674" s="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2"/>
      <c r="E675" s="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2"/>
      <c r="E676" s="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2"/>
      <c r="E677" s="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2"/>
      <c r="E678" s="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2"/>
      <c r="E679" s="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2"/>
      <c r="E680" s="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2"/>
      <c r="E681" s="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2"/>
      <c r="E682" s="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2"/>
      <c r="E683" s="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2"/>
      <c r="E684" s="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2"/>
      <c r="E685" s="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2"/>
      <c r="E686" s="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2"/>
      <c r="E687" s="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2"/>
      <c r="E688" s="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2"/>
      <c r="E689" s="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2"/>
      <c r="E690" s="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2"/>
      <c r="E691" s="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2"/>
      <c r="E692" s="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2"/>
      <c r="E693" s="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2"/>
      <c r="E694" s="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2"/>
      <c r="E695" s="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2"/>
      <c r="E696" s="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2"/>
      <c r="E697" s="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2"/>
      <c r="E698" s="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2"/>
      <c r="E699" s="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2"/>
      <c r="E700" s="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2"/>
      <c r="E701" s="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2"/>
      <c r="E702" s="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2"/>
      <c r="E703" s="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2"/>
      <c r="E704" s="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2"/>
      <c r="E705" s="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2"/>
      <c r="E706" s="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2"/>
      <c r="E707" s="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2"/>
      <c r="E708" s="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2"/>
      <c r="E709" s="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2"/>
      <c r="E710" s="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2"/>
      <c r="E711" s="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2"/>
      <c r="E712" s="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2"/>
      <c r="E713" s="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2"/>
      <c r="E714" s="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2"/>
      <c r="E715" s="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2"/>
      <c r="E716" s="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2"/>
      <c r="E717" s="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2"/>
      <c r="E718" s="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2"/>
      <c r="E719" s="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2"/>
      <c r="E720" s="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2"/>
      <c r="E721" s="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2"/>
      <c r="E722" s="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2"/>
      <c r="E723" s="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2"/>
      <c r="E724" s="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2"/>
      <c r="E725" s="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2"/>
      <c r="E726" s="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2"/>
      <c r="E727" s="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2"/>
      <c r="E728" s="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2"/>
      <c r="E729" s="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2"/>
      <c r="E730" s="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2"/>
      <c r="E731" s="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2"/>
      <c r="E732" s="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2"/>
      <c r="E733" s="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2"/>
      <c r="E734" s="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2"/>
      <c r="E735" s="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2"/>
      <c r="E736" s="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2"/>
      <c r="E737" s="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2"/>
      <c r="E738" s="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2"/>
      <c r="E739" s="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2"/>
      <c r="E740" s="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2"/>
      <c r="E741" s="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2"/>
      <c r="E742" s="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2"/>
      <c r="E743" s="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2"/>
      <c r="E744" s="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2"/>
      <c r="E745" s="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2"/>
      <c r="E746" s="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2"/>
      <c r="E747" s="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2"/>
      <c r="E748" s="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2"/>
      <c r="E749" s="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2"/>
      <c r="E750" s="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2"/>
      <c r="E751" s="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2"/>
      <c r="E752" s="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2"/>
      <c r="E753" s="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2"/>
      <c r="E754" s="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2"/>
      <c r="E755" s="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2"/>
      <c r="E756" s="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2"/>
      <c r="E757" s="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2"/>
      <c r="E758" s="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2"/>
      <c r="E759" s="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2"/>
      <c r="E760" s="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2"/>
      <c r="E761" s="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2"/>
      <c r="E762" s="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2"/>
      <c r="E763" s="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2"/>
      <c r="E764" s="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2"/>
      <c r="E765" s="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2"/>
      <c r="E766" s="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2"/>
      <c r="E767" s="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2"/>
      <c r="E768" s="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2"/>
      <c r="E769" s="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2"/>
      <c r="E770" s="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2"/>
      <c r="E771" s="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2"/>
      <c r="E772" s="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2"/>
      <c r="E773" s="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2"/>
      <c r="E774" s="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2"/>
      <c r="E775" s="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2"/>
      <c r="E776" s="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2"/>
      <c r="E777" s="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2"/>
      <c r="E778" s="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2"/>
      <c r="E779" s="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2"/>
      <c r="E780" s="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2"/>
      <c r="E781" s="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2"/>
      <c r="E782" s="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2"/>
      <c r="E783" s="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2"/>
      <c r="E784" s="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2"/>
      <c r="E785" s="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2"/>
      <c r="E786" s="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2"/>
      <c r="E787" s="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2"/>
      <c r="E788" s="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2"/>
      <c r="E789" s="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2"/>
      <c r="E790" s="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2"/>
      <c r="E791" s="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2"/>
      <c r="E792" s="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2"/>
      <c r="E793" s="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2"/>
      <c r="E794" s="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2"/>
      <c r="E795" s="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2"/>
      <c r="E796" s="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2"/>
      <c r="E797" s="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2"/>
      <c r="E798" s="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2"/>
      <c r="E799" s="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2"/>
      <c r="E800" s="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2"/>
      <c r="E801" s="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2"/>
      <c r="E802" s="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2"/>
      <c r="E803" s="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2"/>
      <c r="E804" s="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2"/>
      <c r="E805" s="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2"/>
      <c r="E806" s="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2"/>
      <c r="E807" s="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2"/>
      <c r="E808" s="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2"/>
      <c r="E809" s="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2"/>
      <c r="E810" s="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2"/>
      <c r="E811" s="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2"/>
      <c r="E812" s="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2"/>
      <c r="E813" s="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2"/>
      <c r="E814" s="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2"/>
      <c r="E815" s="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2"/>
      <c r="E816" s="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2"/>
      <c r="E817" s="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2"/>
      <c r="E818" s="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2"/>
      <c r="E819" s="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2"/>
      <c r="E820" s="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2"/>
      <c r="E821" s="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2"/>
      <c r="E822" s="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2"/>
      <c r="E823" s="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2"/>
      <c r="E824" s="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2"/>
      <c r="E825" s="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2"/>
      <c r="E826" s="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2"/>
      <c r="E827" s="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2"/>
      <c r="E828" s="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2"/>
      <c r="E829" s="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2"/>
      <c r="E830" s="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2"/>
      <c r="E831" s="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2"/>
      <c r="E832" s="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2"/>
      <c r="E833" s="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2"/>
      <c r="E834" s="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2"/>
      <c r="E835" s="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2"/>
      <c r="E836" s="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2"/>
      <c r="E837" s="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2"/>
      <c r="E838" s="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2"/>
      <c r="E839" s="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2"/>
      <c r="E840" s="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2"/>
      <c r="E841" s="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2"/>
      <c r="E842" s="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2"/>
      <c r="E843" s="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2"/>
      <c r="E844" s="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2"/>
      <c r="E845" s="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2"/>
      <c r="E846" s="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2"/>
      <c r="E847" s="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2"/>
      <c r="E848" s="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2"/>
      <c r="E849" s="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2"/>
      <c r="E850" s="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2"/>
      <c r="E851" s="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2"/>
      <c r="E852" s="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2"/>
      <c r="E853" s="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2"/>
      <c r="E854" s="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2"/>
      <c r="E855" s="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2"/>
      <c r="E856" s="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2"/>
      <c r="E857" s="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2"/>
      <c r="E858" s="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2"/>
      <c r="E859" s="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2"/>
      <c r="E860" s="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2"/>
      <c r="E861" s="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2"/>
      <c r="E862" s="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2"/>
      <c r="E863" s="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2"/>
      <c r="E864" s="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2"/>
      <c r="E865" s="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2"/>
      <c r="E866" s="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2"/>
      <c r="E867" s="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2"/>
      <c r="E868" s="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2"/>
      <c r="E869" s="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2"/>
      <c r="E870" s="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2"/>
      <c r="E871" s="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2"/>
      <c r="E872" s="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2"/>
      <c r="E873" s="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2"/>
      <c r="E874" s="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2"/>
      <c r="E875" s="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2"/>
      <c r="E876" s="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2"/>
      <c r="E877" s="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2"/>
      <c r="E878" s="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2"/>
      <c r="E879" s="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2"/>
      <c r="E880" s="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2"/>
      <c r="E881" s="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2"/>
      <c r="E882" s="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2"/>
      <c r="E883" s="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2"/>
      <c r="E884" s="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2"/>
      <c r="E885" s="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2"/>
      <c r="E886" s="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2"/>
      <c r="E887" s="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2"/>
      <c r="E888" s="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2"/>
      <c r="E889" s="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2"/>
      <c r="E890" s="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2"/>
      <c r="E891" s="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2"/>
      <c r="E892" s="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2"/>
      <c r="E893" s="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2"/>
      <c r="E894" s="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2"/>
      <c r="E895" s="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2"/>
      <c r="E896" s="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2"/>
      <c r="E897" s="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2"/>
      <c r="E898" s="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2"/>
      <c r="E899" s="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2"/>
      <c r="E900" s="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2"/>
      <c r="E901" s="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2"/>
      <c r="E902" s="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2"/>
      <c r="E903" s="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2"/>
      <c r="E904" s="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2"/>
      <c r="E905" s="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2"/>
      <c r="E906" s="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2"/>
      <c r="E907" s="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2"/>
      <c r="E908" s="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2"/>
      <c r="E909" s="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2"/>
      <c r="E910" s="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2"/>
      <c r="E911" s="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2"/>
      <c r="E912" s="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2"/>
      <c r="E913" s="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2"/>
      <c r="E914" s="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2"/>
      <c r="E915" s="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2"/>
      <c r="E916" s="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2"/>
      <c r="E917" s="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2"/>
      <c r="E918" s="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2"/>
      <c r="E919" s="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2"/>
      <c r="E920" s="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2"/>
      <c r="E921" s="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2"/>
      <c r="E922" s="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2"/>
      <c r="E923" s="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2"/>
      <c r="E924" s="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2"/>
      <c r="E925" s="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2"/>
      <c r="E926" s="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2"/>
      <c r="E927" s="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2"/>
      <c r="E928" s="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2"/>
      <c r="E929" s="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2"/>
      <c r="E930" s="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2"/>
      <c r="E931" s="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2"/>
      <c r="E932" s="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2"/>
      <c r="E933" s="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2"/>
      <c r="E934" s="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2"/>
      <c r="E935" s="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2"/>
      <c r="E936" s="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2"/>
      <c r="E937" s="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2"/>
      <c r="E938" s="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2"/>
      <c r="E939" s="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2"/>
      <c r="E940" s="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2"/>
      <c r="E941" s="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2"/>
      <c r="E942" s="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2"/>
      <c r="E943" s="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2"/>
      <c r="E944" s="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2"/>
      <c r="E945" s="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2"/>
      <c r="E946" s="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2"/>
      <c r="E947" s="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2"/>
      <c r="E948" s="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2"/>
      <c r="E949" s="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2"/>
      <c r="E950" s="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2"/>
      <c r="E951" s="3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2"/>
      <c r="E952" s="3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2"/>
      <c r="E953" s="3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2"/>
      <c r="E954" s="3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2"/>
      <c r="E955" s="3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2"/>
      <c r="E956" s="3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2"/>
      <c r="E957" s="3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2"/>
      <c r="E958" s="3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2"/>
      <c r="E959" s="3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2"/>
      <c r="E960" s="3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2"/>
      <c r="E961" s="3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2"/>
      <c r="E962" s="3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2"/>
      <c r="E963" s="3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2"/>
      <c r="E964" s="3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2"/>
      <c r="E965" s="3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2"/>
      <c r="E966" s="3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2"/>
      <c r="E967" s="3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2"/>
      <c r="E968" s="3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2"/>
      <c r="E969" s="3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2"/>
      <c r="E970" s="3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2"/>
      <c r="E971" s="3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2"/>
      <c r="E972" s="3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2"/>
      <c r="E973" s="3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2"/>
      <c r="E974" s="3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2"/>
      <c r="E975" s="3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2"/>
      <c r="E976" s="3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2"/>
      <c r="E977" s="3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2"/>
      <c r="E978" s="3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2"/>
      <c r="E979" s="3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2"/>
      <c r="E980" s="3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2"/>
      <c r="E981" s="3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2"/>
      <c r="E982" s="3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2"/>
      <c r="E983" s="3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2"/>
      <c r="E984" s="3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2"/>
      <c r="E985" s="3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2"/>
      <c r="E986" s="3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2"/>
      <c r="E987" s="3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2"/>
      <c r="E988" s="3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2"/>
      <c r="E989" s="3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2"/>
      <c r="E990" s="3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2"/>
      <c r="E991" s="3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2"/>
      <c r="E992" s="3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2"/>
      <c r="E993" s="3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2"/>
      <c r="E994" s="3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2"/>
      <c r="E995" s="3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2"/>
      <c r="E996" s="3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2"/>
      <c r="E997" s="3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2"/>
      <c r="E998" s="3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2"/>
      <c r="E999" s="3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2"/>
      <c r="E1000" s="3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2"/>
      <c r="E1001" s="3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1"/>
      <c r="D1002" s="2"/>
      <c r="E1002" s="3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"/>
      <c r="C1003" s="1"/>
      <c r="D1003" s="2"/>
      <c r="E1003" s="3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1"/>
      <c r="C1004" s="1"/>
      <c r="D1004" s="2"/>
      <c r="E1004" s="3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1"/>
      <c r="B1005" s="1"/>
      <c r="C1005" s="1"/>
      <c r="D1005" s="2"/>
      <c r="E1005" s="3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5.75" customHeight="1">
      <c r="A1006" s="1"/>
      <c r="B1006" s="1"/>
      <c r="C1006" s="1"/>
      <c r="D1006" s="2"/>
      <c r="E1006" s="3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5.75" customHeight="1">
      <c r="A1007" s="1"/>
      <c r="B1007" s="1"/>
      <c r="C1007" s="1"/>
      <c r="D1007" s="2"/>
      <c r="E1007" s="3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5.75" customHeight="1">
      <c r="A1008" s="1"/>
      <c r="B1008" s="1"/>
      <c r="C1008" s="1"/>
      <c r="D1008" s="2"/>
      <c r="E1008" s="3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5.75" customHeight="1">
      <c r="A1009" s="1"/>
      <c r="B1009" s="1"/>
      <c r="C1009" s="1"/>
      <c r="D1009" s="2"/>
      <c r="E1009" s="3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5.75" customHeight="1">
      <c r="A1010" s="1"/>
      <c r="B1010" s="1"/>
      <c r="C1010" s="1"/>
      <c r="D1010" s="2"/>
      <c r="E1010" s="3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5.75" customHeight="1">
      <c r="A1011" s="1"/>
      <c r="B1011" s="1"/>
      <c r="C1011" s="1"/>
      <c r="D1011" s="2"/>
      <c r="E1011" s="3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5.75" customHeight="1">
      <c r="A1012" s="1"/>
      <c r="B1012" s="1"/>
      <c r="C1012" s="1"/>
      <c r="D1012" s="2"/>
      <c r="E1012" s="3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</sheetData>
  <mergeCells count="10">
    <mergeCell ref="B62:F62"/>
    <mergeCell ref="B66:F66"/>
    <mergeCell ref="B71:D71"/>
    <mergeCell ref="B2:G2"/>
    <mergeCell ref="C12:F12"/>
    <mergeCell ref="C28:E28"/>
    <mergeCell ref="C31:E31"/>
    <mergeCell ref="B48:F48"/>
    <mergeCell ref="B49:F49"/>
    <mergeCell ref="B61:F61"/>
  </mergeCells>
  <dataValidations>
    <dataValidation type="decimal" allowBlank="1" showInputMessage="1" showErrorMessage="1" prompt="Entre 1 y 9 personas." sqref="B88">
      <formula1>1.0</formula1>
      <formula2>9.0</formula2>
    </dataValidation>
  </dataValidations>
  <hyperlinks>
    <hyperlink r:id="rId2" location="v=onepage&amp;q=e7%20part-time%20members&amp;f=false" ref="H35"/>
    <hyperlink r:id="rId3" location="v=onepage&amp;q=e7%20part-time%20members&amp;f=false" ref="H53"/>
  </hyperlinks>
  <printOptions/>
  <pageMargins bottom="1.0" footer="0.0" header="0.0" left="0.75" right="0.75" top="1.0"/>
  <pageSetup orientation="portrait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75"/>
    <col customWidth="1" min="2" max="2" width="32.13"/>
    <col customWidth="1" min="3" max="3" width="33.38"/>
    <col customWidth="1" min="4" max="4" width="38.63"/>
    <col customWidth="1" min="5" max="5" width="13.63"/>
    <col customWidth="1" min="6" max="6" width="16.13"/>
    <col customWidth="1" min="7" max="7" width="16.75"/>
    <col customWidth="1" min="8" max="8" width="34.38"/>
    <col customWidth="1" min="9" max="9" width="10.63"/>
    <col customWidth="1" min="10" max="10" width="13.75"/>
    <col customWidth="1" min="11" max="26" width="9.13"/>
  </cols>
  <sheetData>
    <row r="1" ht="27.75" customHeight="1">
      <c r="A1" s="1"/>
      <c r="B1" s="1"/>
      <c r="C1" s="1"/>
      <c r="D1" s="2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4"/>
      <c r="B2" s="5" t="s">
        <v>0</v>
      </c>
      <c r="C2" s="6"/>
      <c r="D2" s="6"/>
      <c r="E2" s="6"/>
      <c r="F2" s="6"/>
      <c r="G2" s="7"/>
      <c r="H2" s="8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4"/>
      <c r="B3" s="9" t="s">
        <v>1</v>
      </c>
      <c r="C3" s="10" t="s">
        <v>2</v>
      </c>
      <c r="D3" s="11"/>
      <c r="E3" s="11"/>
      <c r="F3" s="11"/>
      <c r="G3" s="12"/>
      <c r="H3" s="1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4"/>
      <c r="B4" s="14" t="s">
        <v>3</v>
      </c>
      <c r="C4" s="15" t="s">
        <v>4</v>
      </c>
      <c r="D4" s="16"/>
      <c r="E4" s="16"/>
      <c r="F4" s="16"/>
      <c r="G4" s="17"/>
      <c r="H4" s="1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7.75" customHeight="1">
      <c r="A5" s="1"/>
      <c r="B5" s="18"/>
      <c r="C5" s="1"/>
      <c r="D5" s="19"/>
      <c r="E5" s="19"/>
      <c r="F5" s="19"/>
      <c r="G5" s="19"/>
      <c r="H5" s="1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1"/>
      <c r="B6" s="1"/>
      <c r="C6" s="1"/>
      <c r="D6" s="2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20" t="s">
        <v>5</v>
      </c>
      <c r="B7" s="21" t="s">
        <v>6</v>
      </c>
      <c r="C7" s="22" t="s">
        <v>7</v>
      </c>
      <c r="D7" s="22" t="s">
        <v>8</v>
      </c>
      <c r="E7" s="21" t="s">
        <v>9</v>
      </c>
      <c r="F7" s="21" t="s">
        <v>10</v>
      </c>
      <c r="G7" s="21" t="s">
        <v>11</v>
      </c>
      <c r="H7" s="19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27.75" customHeight="1">
      <c r="A8" s="1"/>
      <c r="B8" s="23" t="s">
        <v>12</v>
      </c>
      <c r="C8" s="24" t="s">
        <v>13</v>
      </c>
      <c r="D8" s="24" t="s">
        <v>14</v>
      </c>
      <c r="E8" s="25">
        <v>3.0</v>
      </c>
      <c r="F8" s="26">
        <v>1.0</v>
      </c>
      <c r="G8" s="25">
        <v>1.0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75" customHeight="1">
      <c r="A9" s="1"/>
      <c r="B9" s="27" t="s">
        <v>15</v>
      </c>
      <c r="C9" s="28" t="s">
        <v>13</v>
      </c>
      <c r="D9" s="28" t="s">
        <v>16</v>
      </c>
      <c r="E9" s="29">
        <v>3.0</v>
      </c>
      <c r="F9" s="30">
        <v>1.0</v>
      </c>
      <c r="G9" s="29">
        <v>1.0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75" customHeight="1">
      <c r="A10" s="1"/>
      <c r="B10" s="27" t="s">
        <v>17</v>
      </c>
      <c r="C10" s="28" t="s">
        <v>13</v>
      </c>
      <c r="D10" s="28" t="s">
        <v>18</v>
      </c>
      <c r="E10" s="29">
        <v>3.0</v>
      </c>
      <c r="F10" s="30">
        <v>1.0</v>
      </c>
      <c r="G10" s="29">
        <v>1.0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75" customHeight="1">
      <c r="A11" s="1"/>
      <c r="B11" s="27"/>
      <c r="C11" s="28"/>
      <c r="D11" s="28"/>
      <c r="E11" s="29"/>
      <c r="F11" s="30"/>
      <c r="G11" s="29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75" customHeight="1">
      <c r="A12" s="1"/>
      <c r="B12" s="31"/>
      <c r="C12" s="32" t="s">
        <v>19</v>
      </c>
      <c r="D12" s="6"/>
      <c r="E12" s="6"/>
      <c r="F12" s="7"/>
      <c r="G12" s="33">
        <f>SUM(G8:G11)</f>
        <v>3</v>
      </c>
      <c r="H12" s="2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75" customHeight="1">
      <c r="A13" s="1"/>
      <c r="B13" s="20"/>
      <c r="C13" s="34"/>
      <c r="D13" s="3"/>
      <c r="E13" s="3"/>
      <c r="F13" s="3"/>
      <c r="G13" s="35"/>
      <c r="H13" s="2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75" customHeight="1">
      <c r="A14" s="1"/>
      <c r="B14" s="20"/>
      <c r="C14" s="36"/>
      <c r="D14" s="36"/>
      <c r="E14" s="37"/>
      <c r="F14" s="20"/>
      <c r="G14" s="20"/>
      <c r="H14" s="20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75" customHeight="1">
      <c r="A15" s="20" t="s">
        <v>20</v>
      </c>
      <c r="B15" s="21" t="s">
        <v>21</v>
      </c>
      <c r="C15" s="21" t="s">
        <v>22</v>
      </c>
      <c r="D15" s="22" t="s">
        <v>23</v>
      </c>
      <c r="E15" s="22" t="s">
        <v>24</v>
      </c>
      <c r="F15" s="21" t="s">
        <v>9</v>
      </c>
      <c r="G15" s="19"/>
      <c r="H15" s="1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38"/>
      <c r="U15" s="1"/>
      <c r="V15" s="1"/>
      <c r="W15" s="1"/>
      <c r="X15" s="1"/>
      <c r="Y15" s="1"/>
      <c r="Z15" s="1"/>
    </row>
    <row r="16" ht="27.75" customHeight="1">
      <c r="A16" s="1"/>
      <c r="B16" s="82" t="s">
        <v>129</v>
      </c>
      <c r="C16" s="83"/>
      <c r="D16" s="84">
        <v>2.0</v>
      </c>
      <c r="E16" s="85" t="s">
        <v>130</v>
      </c>
      <c r="F16" s="85">
        <v>5.0</v>
      </c>
      <c r="G16" s="1"/>
      <c r="H16" s="1"/>
      <c r="I16" s="1"/>
      <c r="J16" s="1"/>
      <c r="K16" s="38"/>
      <c r="L16" s="1"/>
      <c r="M16" s="1"/>
      <c r="N16" s="1"/>
      <c r="O16" s="1"/>
      <c r="P16" s="1"/>
      <c r="Q16" s="1"/>
      <c r="R16" s="1"/>
      <c r="S16" s="1"/>
      <c r="T16" s="38"/>
      <c r="U16" s="1"/>
      <c r="V16" s="1"/>
      <c r="W16" s="1"/>
      <c r="X16" s="1"/>
      <c r="Y16" s="1"/>
      <c r="Z16" s="1"/>
    </row>
    <row r="17" ht="27.75" customHeight="1">
      <c r="A17" s="1"/>
      <c r="B17" s="82" t="s">
        <v>131</v>
      </c>
      <c r="C17" s="86"/>
      <c r="D17" s="87">
        <v>10.0</v>
      </c>
      <c r="E17" s="85" t="s">
        <v>13</v>
      </c>
      <c r="F17" s="85">
        <v>15.0</v>
      </c>
      <c r="G17" s="1"/>
      <c r="H17" s="1"/>
      <c r="I17" s="1"/>
      <c r="J17" s="1"/>
      <c r="K17" s="38"/>
      <c r="L17" s="1"/>
      <c r="M17" s="1"/>
      <c r="N17" s="1"/>
      <c r="O17" s="1"/>
      <c r="P17" s="1"/>
      <c r="Q17" s="1"/>
      <c r="R17" s="1"/>
      <c r="S17" s="1"/>
      <c r="T17" s="38"/>
      <c r="U17" s="1"/>
      <c r="V17" s="1"/>
      <c r="W17" s="1"/>
      <c r="X17" s="1"/>
      <c r="Y17" s="1"/>
      <c r="Z17" s="1"/>
    </row>
    <row r="18" ht="27.75" customHeight="1">
      <c r="A18" s="1"/>
      <c r="B18" s="82" t="s">
        <v>132</v>
      </c>
      <c r="C18" s="86"/>
      <c r="D18" s="87">
        <v>4.0</v>
      </c>
      <c r="E18" s="85" t="s">
        <v>26</v>
      </c>
      <c r="F18" s="85">
        <v>10.0</v>
      </c>
      <c r="G18" s="1"/>
      <c r="H18" s="1"/>
      <c r="I18" s="1"/>
      <c r="J18" s="1"/>
      <c r="K18" s="38"/>
      <c r="L18" s="1"/>
      <c r="M18" s="1"/>
      <c r="N18" s="1"/>
      <c r="O18" s="1"/>
      <c r="P18" s="1"/>
      <c r="Q18" s="1"/>
      <c r="R18" s="1"/>
      <c r="S18" s="1"/>
      <c r="T18" s="38"/>
      <c r="U18" s="1"/>
      <c r="V18" s="1"/>
      <c r="W18" s="1"/>
      <c r="X18" s="1"/>
      <c r="Y18" s="1"/>
      <c r="Z18" s="1"/>
    </row>
    <row r="19" ht="27.75" customHeight="1">
      <c r="A19" s="1"/>
      <c r="B19" s="88" t="s">
        <v>133</v>
      </c>
      <c r="C19" s="89"/>
      <c r="D19" s="90">
        <v>3.0</v>
      </c>
      <c r="E19" s="91" t="s">
        <v>130</v>
      </c>
      <c r="F19" s="91">
        <v>5.0</v>
      </c>
      <c r="G19" s="1"/>
      <c r="H19" s="1"/>
      <c r="I19" s="1"/>
      <c r="J19" s="1"/>
      <c r="K19" s="38"/>
      <c r="L19" s="1"/>
      <c r="M19" s="1"/>
      <c r="N19" s="1"/>
      <c r="O19" s="1"/>
      <c r="P19" s="1"/>
      <c r="Q19" s="1"/>
      <c r="R19" s="1"/>
      <c r="S19" s="1"/>
      <c r="T19" s="38"/>
      <c r="U19" s="1"/>
      <c r="V19" s="1"/>
      <c r="W19" s="1"/>
      <c r="X19" s="1"/>
      <c r="Y19" s="1"/>
      <c r="Z19" s="1"/>
    </row>
    <row r="20" ht="27.75" customHeight="1">
      <c r="A20" s="1"/>
      <c r="B20" s="92" t="s">
        <v>134</v>
      </c>
      <c r="C20" s="93"/>
      <c r="D20" s="94">
        <v>3.0</v>
      </c>
      <c r="E20" s="95" t="s">
        <v>130</v>
      </c>
      <c r="F20" s="95">
        <v>5.0</v>
      </c>
      <c r="G20" s="1"/>
      <c r="H20" s="1"/>
      <c r="I20" s="1"/>
      <c r="J20" s="1"/>
      <c r="K20" s="38"/>
      <c r="L20" s="1"/>
      <c r="M20" s="1"/>
      <c r="N20" s="1"/>
      <c r="O20" s="1"/>
      <c r="P20" s="1"/>
      <c r="Q20" s="1"/>
      <c r="R20" s="1"/>
      <c r="S20" s="1"/>
      <c r="T20" s="38"/>
      <c r="U20" s="1"/>
      <c r="V20" s="1"/>
      <c r="W20" s="1"/>
      <c r="X20" s="1"/>
      <c r="Y20" s="1"/>
      <c r="Z20" s="1"/>
    </row>
    <row r="21" ht="27.75" customHeight="1">
      <c r="A21" s="1"/>
      <c r="B21" s="39" t="s">
        <v>135</v>
      </c>
      <c r="C21" s="40"/>
      <c r="D21" s="41">
        <v>4.0</v>
      </c>
      <c r="E21" s="42" t="s">
        <v>26</v>
      </c>
      <c r="F21" s="42">
        <v>10.0</v>
      </c>
      <c r="G21" s="1"/>
      <c r="H21" s="1"/>
      <c r="I21" s="1"/>
      <c r="J21" s="1"/>
      <c r="K21" s="38"/>
      <c r="L21" s="1"/>
      <c r="M21" s="1"/>
      <c r="N21" s="1"/>
      <c r="O21" s="1"/>
      <c r="P21" s="1"/>
      <c r="Q21" s="1"/>
      <c r="R21" s="1"/>
      <c r="S21" s="1"/>
      <c r="T21" s="38"/>
      <c r="U21" s="1"/>
      <c r="V21" s="1"/>
      <c r="W21" s="1"/>
      <c r="X21" s="1"/>
      <c r="Y21" s="1"/>
      <c r="Z21" s="1"/>
    </row>
    <row r="22" ht="27.75" customHeight="1">
      <c r="A22" s="1"/>
      <c r="B22" s="39" t="s">
        <v>136</v>
      </c>
      <c r="C22" s="40"/>
      <c r="D22" s="41">
        <v>6.0</v>
      </c>
      <c r="E22" s="42" t="s">
        <v>26</v>
      </c>
      <c r="F22" s="42">
        <v>10.0</v>
      </c>
      <c r="G22" s="1"/>
      <c r="H22" s="1"/>
      <c r="I22" s="1"/>
      <c r="J22" s="1"/>
      <c r="K22" s="38"/>
      <c r="L22" s="1"/>
      <c r="M22" s="1"/>
      <c r="N22" s="1"/>
      <c r="O22" s="1"/>
      <c r="P22" s="1"/>
      <c r="Q22" s="1"/>
      <c r="R22" s="1"/>
      <c r="S22" s="1"/>
      <c r="T22" s="38"/>
      <c r="U22" s="1"/>
      <c r="V22" s="1"/>
      <c r="W22" s="1"/>
      <c r="X22" s="1"/>
      <c r="Y22" s="1"/>
      <c r="Z22" s="1"/>
    </row>
    <row r="23" ht="27.75" customHeight="1">
      <c r="A23" s="1"/>
      <c r="B23" s="39" t="s">
        <v>137</v>
      </c>
      <c r="C23" s="40"/>
      <c r="D23" s="41">
        <v>4.0</v>
      </c>
      <c r="E23" s="42" t="s">
        <v>26</v>
      </c>
      <c r="F23" s="42">
        <v>10.0</v>
      </c>
      <c r="G23" s="1"/>
      <c r="H23" s="1"/>
      <c r="I23" s="1"/>
      <c r="J23" s="1"/>
      <c r="K23" s="38"/>
      <c r="L23" s="1"/>
      <c r="M23" s="1"/>
      <c r="N23" s="1"/>
      <c r="O23" s="1"/>
      <c r="P23" s="1"/>
      <c r="Q23" s="1"/>
      <c r="R23" s="1"/>
      <c r="S23" s="1"/>
      <c r="T23" s="38"/>
      <c r="U23" s="1"/>
      <c r="V23" s="1"/>
      <c r="W23" s="1"/>
      <c r="X23" s="1"/>
      <c r="Y23" s="1"/>
      <c r="Z23" s="1"/>
    </row>
    <row r="24" ht="27.75" customHeight="1">
      <c r="A24" s="1"/>
      <c r="B24" s="39" t="s">
        <v>138</v>
      </c>
      <c r="C24" s="40"/>
      <c r="D24" s="41">
        <v>3.0</v>
      </c>
      <c r="E24" s="42" t="s">
        <v>130</v>
      </c>
      <c r="F24" s="42">
        <v>5.0</v>
      </c>
      <c r="G24" s="1"/>
      <c r="H24" s="1"/>
      <c r="I24" s="1"/>
      <c r="J24" s="1"/>
      <c r="K24" s="38"/>
      <c r="L24" s="1"/>
      <c r="M24" s="1"/>
      <c r="N24" s="1"/>
      <c r="O24" s="1"/>
      <c r="P24" s="1"/>
      <c r="Q24" s="1"/>
      <c r="R24" s="1"/>
      <c r="S24" s="1"/>
      <c r="T24" s="38"/>
      <c r="U24" s="1"/>
      <c r="V24" s="1"/>
      <c r="W24" s="1"/>
      <c r="X24" s="1"/>
      <c r="Y24" s="1"/>
      <c r="Z24" s="1"/>
    </row>
    <row r="25" ht="27.75" customHeight="1">
      <c r="A25" s="1"/>
      <c r="B25" s="92" t="s">
        <v>139</v>
      </c>
      <c r="C25" s="93"/>
      <c r="D25" s="94">
        <v>3.0</v>
      </c>
      <c r="E25" s="95" t="s">
        <v>130</v>
      </c>
      <c r="F25" s="95">
        <v>5.0</v>
      </c>
      <c r="G25" s="1"/>
      <c r="H25" s="1"/>
      <c r="I25" s="1"/>
      <c r="J25" s="1"/>
      <c r="K25" s="38"/>
      <c r="L25" s="1"/>
      <c r="M25" s="1"/>
      <c r="N25" s="1"/>
      <c r="O25" s="1"/>
      <c r="P25" s="1"/>
      <c r="Q25" s="1"/>
      <c r="R25" s="1"/>
      <c r="S25" s="1"/>
      <c r="T25" s="38"/>
      <c r="U25" s="1"/>
      <c r="V25" s="1"/>
      <c r="W25" s="1"/>
      <c r="X25" s="1"/>
      <c r="Y25" s="1"/>
      <c r="Z25" s="1"/>
    </row>
    <row r="26" ht="27.75" customHeight="1">
      <c r="A26" s="1"/>
      <c r="B26" s="92" t="s">
        <v>140</v>
      </c>
      <c r="C26" s="93"/>
      <c r="D26" s="94">
        <v>8.0</v>
      </c>
      <c r="E26" s="95" t="s">
        <v>13</v>
      </c>
      <c r="F26" s="95">
        <v>15.0</v>
      </c>
      <c r="G26" s="1"/>
      <c r="H26" s="1"/>
      <c r="I26" s="1"/>
      <c r="J26" s="1"/>
      <c r="K26" s="38"/>
      <c r="L26" s="1"/>
      <c r="M26" s="1"/>
      <c r="N26" s="1"/>
      <c r="O26" s="1"/>
      <c r="P26" s="1"/>
      <c r="Q26" s="1"/>
      <c r="R26" s="1"/>
      <c r="S26" s="1"/>
      <c r="T26" s="38"/>
      <c r="U26" s="1"/>
      <c r="V26" s="1"/>
      <c r="W26" s="1"/>
      <c r="X26" s="1"/>
      <c r="Y26" s="1"/>
      <c r="Z26" s="1"/>
    </row>
    <row r="27" ht="27.75" customHeight="1">
      <c r="A27" s="1"/>
      <c r="B27" s="39" t="s">
        <v>141</v>
      </c>
      <c r="C27" s="40"/>
      <c r="D27" s="41">
        <v>3.0</v>
      </c>
      <c r="E27" s="42" t="s">
        <v>130</v>
      </c>
      <c r="F27" s="42">
        <v>5.0</v>
      </c>
      <c r="G27" s="1"/>
      <c r="H27" s="1"/>
      <c r="I27" s="1"/>
      <c r="J27" s="1"/>
      <c r="K27" s="38"/>
      <c r="L27" s="1"/>
      <c r="M27" s="1"/>
      <c r="N27" s="1"/>
      <c r="O27" s="1"/>
      <c r="P27" s="1"/>
      <c r="Q27" s="1"/>
      <c r="R27" s="1"/>
      <c r="S27" s="1"/>
      <c r="T27" s="38"/>
      <c r="U27" s="1"/>
      <c r="V27" s="1"/>
      <c r="W27" s="1"/>
      <c r="X27" s="1"/>
      <c r="Y27" s="1"/>
      <c r="Z27" s="1"/>
    </row>
    <row r="28" ht="27.75" customHeight="1">
      <c r="A28" s="1"/>
      <c r="B28" s="27"/>
      <c r="C28" s="43"/>
      <c r="D28" s="30"/>
      <c r="E28" s="29"/>
      <c r="F28" s="29"/>
      <c r="G28" s="1"/>
      <c r="H28" s="1"/>
      <c r="I28" s="1"/>
      <c r="J28" s="1"/>
      <c r="K28" s="38"/>
      <c r="L28" s="1"/>
      <c r="M28" s="1"/>
      <c r="N28" s="1"/>
      <c r="O28" s="1"/>
      <c r="P28" s="1"/>
      <c r="Q28" s="1"/>
      <c r="R28" s="1"/>
      <c r="S28" s="1"/>
      <c r="T28" s="38"/>
      <c r="U28" s="1"/>
      <c r="V28" s="1"/>
      <c r="W28" s="1"/>
      <c r="X28" s="1"/>
      <c r="Y28" s="1"/>
      <c r="Z28" s="1"/>
    </row>
    <row r="29" ht="27.75" customHeight="1">
      <c r="A29" s="1"/>
      <c r="B29" s="27"/>
      <c r="C29" s="43"/>
      <c r="D29" s="30"/>
      <c r="E29" s="29"/>
      <c r="F29" s="29"/>
      <c r="G29" s="1"/>
      <c r="H29" s="1"/>
      <c r="I29" s="1"/>
      <c r="J29" s="1"/>
      <c r="K29" s="38"/>
      <c r="L29" s="1"/>
      <c r="M29" s="1"/>
      <c r="N29" s="1"/>
      <c r="O29" s="1"/>
      <c r="P29" s="1"/>
      <c r="Q29" s="1"/>
      <c r="R29" s="1"/>
      <c r="S29" s="1"/>
      <c r="T29" s="38"/>
      <c r="U29" s="1"/>
      <c r="V29" s="1"/>
      <c r="W29" s="1"/>
      <c r="X29" s="1"/>
      <c r="Y29" s="1"/>
      <c r="Z29" s="1"/>
    </row>
    <row r="30" ht="27.75" customHeight="1">
      <c r="A30" s="1"/>
      <c r="B30" s="27"/>
      <c r="C30" s="43"/>
      <c r="D30" s="30"/>
      <c r="E30" s="29"/>
      <c r="F30" s="29"/>
      <c r="G30" s="1"/>
      <c r="H30" s="1"/>
      <c r="I30" s="1"/>
      <c r="J30" s="1"/>
      <c r="K30" s="38"/>
      <c r="L30" s="1"/>
      <c r="M30" s="1"/>
      <c r="N30" s="1"/>
      <c r="O30" s="1"/>
      <c r="P30" s="1"/>
      <c r="Q30" s="1"/>
      <c r="R30" s="1"/>
      <c r="S30" s="1"/>
      <c r="T30" s="38"/>
      <c r="U30" s="1"/>
      <c r="V30" s="1"/>
      <c r="W30" s="1"/>
      <c r="X30" s="1"/>
      <c r="Y30" s="1"/>
      <c r="Z30" s="1"/>
    </row>
    <row r="31" ht="27.75" customHeight="1">
      <c r="A31" s="1"/>
      <c r="B31" s="27"/>
      <c r="C31" s="43"/>
      <c r="D31" s="30"/>
      <c r="E31" s="29"/>
      <c r="F31" s="29"/>
      <c r="G31" s="1"/>
      <c r="H31" s="1"/>
      <c r="I31" s="1"/>
      <c r="J31" s="1"/>
      <c r="K31" s="38"/>
      <c r="L31" s="1"/>
      <c r="M31" s="1"/>
      <c r="N31" s="1"/>
      <c r="O31" s="1"/>
      <c r="P31" s="1"/>
      <c r="Q31" s="1"/>
      <c r="R31" s="1"/>
      <c r="S31" s="1"/>
      <c r="T31" s="38"/>
      <c r="U31" s="1"/>
      <c r="V31" s="1"/>
      <c r="W31" s="1"/>
      <c r="X31" s="1"/>
      <c r="Y31" s="1"/>
      <c r="Z31" s="1"/>
    </row>
    <row r="32" ht="27.75" customHeight="1">
      <c r="A32" s="1"/>
      <c r="B32" s="44"/>
      <c r="C32" s="45" t="s">
        <v>28</v>
      </c>
      <c r="D32" s="46"/>
      <c r="E32" s="47"/>
      <c r="F32" s="48">
        <f>SUM(F16:F31)</f>
        <v>100</v>
      </c>
      <c r="G32" s="1"/>
      <c r="H32" s="20"/>
      <c r="I32" s="1"/>
      <c r="J32" s="1"/>
      <c r="K32" s="38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75" customHeight="1">
      <c r="A33" s="1"/>
      <c r="B33" s="1"/>
      <c r="C33" s="1"/>
      <c r="D33" s="2"/>
      <c r="E33" s="3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75" customHeight="1">
      <c r="A34" s="1"/>
      <c r="B34" s="1"/>
      <c r="C34" s="1"/>
      <c r="D34" s="2"/>
      <c r="E34" s="3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75" customHeight="1">
      <c r="A35" s="20" t="s">
        <v>29</v>
      </c>
      <c r="B35" s="49"/>
      <c r="C35" s="32" t="s">
        <v>142</v>
      </c>
      <c r="D35" s="6"/>
      <c r="E35" s="7"/>
      <c r="F35" s="33">
        <f>G12+F32</f>
        <v>103</v>
      </c>
      <c r="G35" s="1"/>
      <c r="H35" s="20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75" customHeight="1">
      <c r="A36" s="1"/>
      <c r="B36" s="1"/>
      <c r="C36" s="1"/>
      <c r="D36" s="2"/>
      <c r="E36" s="3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75" customHeight="1">
      <c r="A37" s="1"/>
      <c r="B37" s="3"/>
      <c r="C37" s="1"/>
      <c r="D37" s="2"/>
      <c r="E37" s="3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75" customHeight="1">
      <c r="A38" s="20" t="s">
        <v>31</v>
      </c>
      <c r="B38" s="22" t="s">
        <v>32</v>
      </c>
      <c r="C38" s="22" t="s">
        <v>33</v>
      </c>
      <c r="D38" s="21" t="s">
        <v>34</v>
      </c>
      <c r="E38" s="21" t="s">
        <v>9</v>
      </c>
      <c r="F38" s="21" t="s">
        <v>35</v>
      </c>
      <c r="G38" s="21" t="s">
        <v>36</v>
      </c>
      <c r="H38" s="1" t="s">
        <v>37</v>
      </c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27.75" customHeight="1">
      <c r="A39" s="1"/>
      <c r="B39" s="50" t="s">
        <v>38</v>
      </c>
      <c r="C39" s="50" t="s">
        <v>39</v>
      </c>
      <c r="D39" s="23" t="s">
        <v>40</v>
      </c>
      <c r="E39" s="51">
        <v>2.0</v>
      </c>
      <c r="F39" s="26">
        <v>0.0</v>
      </c>
      <c r="G39" s="51">
        <v>0.0</v>
      </c>
      <c r="H39" s="52" t="s">
        <v>41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50" t="s">
        <v>42</v>
      </c>
      <c r="C40" s="50" t="s">
        <v>39</v>
      </c>
      <c r="D40" s="27" t="s">
        <v>43</v>
      </c>
      <c r="E40" s="53">
        <v>2.0</v>
      </c>
      <c r="F40" s="30">
        <v>5.0</v>
      </c>
      <c r="G40" s="53">
        <v>10.0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75" customHeight="1">
      <c r="A41" s="1"/>
      <c r="B41" s="50" t="s">
        <v>44</v>
      </c>
      <c r="C41" s="50" t="s">
        <v>39</v>
      </c>
      <c r="D41" s="54"/>
      <c r="E41" s="53">
        <v>1.0</v>
      </c>
      <c r="F41" s="30">
        <v>4.0</v>
      </c>
      <c r="G41" s="53">
        <v>4.0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50" t="s">
        <v>45</v>
      </c>
      <c r="C42" s="50" t="s">
        <v>39</v>
      </c>
      <c r="D42" s="27" t="s">
        <v>46</v>
      </c>
      <c r="E42" s="53">
        <v>1.0</v>
      </c>
      <c r="F42" s="30">
        <v>4.0</v>
      </c>
      <c r="G42" s="53">
        <v>4.0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75" customHeight="1">
      <c r="A43" s="1"/>
      <c r="B43" s="50" t="s">
        <v>47</v>
      </c>
      <c r="C43" s="50" t="s">
        <v>39</v>
      </c>
      <c r="D43" s="27" t="s">
        <v>48</v>
      </c>
      <c r="E43" s="53">
        <v>1.0</v>
      </c>
      <c r="F43" s="30">
        <v>0.0</v>
      </c>
      <c r="G43" s="53">
        <v>0.0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75" customHeight="1">
      <c r="A44" s="1"/>
      <c r="B44" s="50" t="s">
        <v>49</v>
      </c>
      <c r="C44" s="50" t="s">
        <v>39</v>
      </c>
      <c r="D44" s="27" t="s">
        <v>50</v>
      </c>
      <c r="E44" s="53">
        <v>0.5</v>
      </c>
      <c r="F44" s="30">
        <v>5.0</v>
      </c>
      <c r="G44" s="53">
        <v>2.5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75" customHeight="1">
      <c r="A45" s="1"/>
      <c r="B45" s="50" t="s">
        <v>51</v>
      </c>
      <c r="C45" s="50" t="s">
        <v>39</v>
      </c>
      <c r="D45" s="27" t="s">
        <v>52</v>
      </c>
      <c r="E45" s="53">
        <v>0.5</v>
      </c>
      <c r="F45" s="30">
        <v>5.0</v>
      </c>
      <c r="G45" s="53">
        <v>2.5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75" customHeight="1">
      <c r="A46" s="1"/>
      <c r="B46" s="50" t="s">
        <v>53</v>
      </c>
      <c r="C46" s="50" t="s">
        <v>39</v>
      </c>
      <c r="D46" s="27" t="s">
        <v>54</v>
      </c>
      <c r="E46" s="53">
        <v>2.0</v>
      </c>
      <c r="F46" s="30">
        <v>3.0</v>
      </c>
      <c r="G46" s="53">
        <v>6.0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75" customHeight="1">
      <c r="A47" s="1"/>
      <c r="B47" s="50" t="s">
        <v>55</v>
      </c>
      <c r="C47" s="50" t="s">
        <v>39</v>
      </c>
      <c r="D47" s="27" t="s">
        <v>56</v>
      </c>
      <c r="E47" s="53">
        <v>1.0</v>
      </c>
      <c r="F47" s="30">
        <v>1.0</v>
      </c>
      <c r="G47" s="53">
        <v>1.0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75" customHeight="1">
      <c r="A48" s="1"/>
      <c r="B48" s="50" t="s">
        <v>57</v>
      </c>
      <c r="C48" s="50" t="s">
        <v>39</v>
      </c>
      <c r="D48" s="27" t="s">
        <v>58</v>
      </c>
      <c r="E48" s="53">
        <v>1.0</v>
      </c>
      <c r="F48" s="30">
        <v>5.0</v>
      </c>
      <c r="G48" s="53">
        <v>5.0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50" t="s">
        <v>59</v>
      </c>
      <c r="C49" s="50" t="s">
        <v>39</v>
      </c>
      <c r="D49" s="27" t="s">
        <v>60</v>
      </c>
      <c r="E49" s="53">
        <v>1.0</v>
      </c>
      <c r="F49" s="30">
        <v>5.0</v>
      </c>
      <c r="G49" s="53">
        <v>5.0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50" t="s">
        <v>61</v>
      </c>
      <c r="C50" s="50" t="s">
        <v>39</v>
      </c>
      <c r="D50" s="27" t="s">
        <v>62</v>
      </c>
      <c r="E50" s="53">
        <v>1.0</v>
      </c>
      <c r="F50" s="30">
        <v>4.0</v>
      </c>
      <c r="G50" s="53">
        <v>4.0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50" t="s">
        <v>63</v>
      </c>
      <c r="C51" s="50" t="s">
        <v>39</v>
      </c>
      <c r="D51" s="27" t="s">
        <v>64</v>
      </c>
      <c r="E51" s="53">
        <v>1.0</v>
      </c>
      <c r="F51" s="30">
        <v>3.0</v>
      </c>
      <c r="G51" s="53">
        <v>3.0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75" customHeight="1">
      <c r="A52" s="1"/>
      <c r="B52" s="32" t="s">
        <v>143</v>
      </c>
      <c r="C52" s="6"/>
      <c r="D52" s="6"/>
      <c r="E52" s="6"/>
      <c r="F52" s="7"/>
      <c r="G52" s="55">
        <f>SUM(G39:G51)</f>
        <v>47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75" customHeight="1">
      <c r="A53" s="1"/>
      <c r="B53" s="32" t="s">
        <v>144</v>
      </c>
      <c r="C53" s="6"/>
      <c r="D53" s="6"/>
      <c r="E53" s="6"/>
      <c r="F53" s="7"/>
      <c r="G53" s="48">
        <f>0.6+(0.01*G52)</f>
        <v>1.07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75" customHeight="1">
      <c r="A54" s="1"/>
      <c r="B54" s="34"/>
      <c r="C54" s="3"/>
      <c r="D54" s="3"/>
      <c r="E54" s="3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75" customHeight="1">
      <c r="A55" s="1"/>
      <c r="B55" s="56"/>
      <c r="C55" s="56"/>
      <c r="D55" s="57"/>
      <c r="E55" s="56"/>
      <c r="F55" s="56"/>
      <c r="G55" s="56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20" t="s">
        <v>67</v>
      </c>
      <c r="B56" s="22" t="s">
        <v>68</v>
      </c>
      <c r="C56" s="22" t="s">
        <v>69</v>
      </c>
      <c r="D56" s="21" t="s">
        <v>70</v>
      </c>
      <c r="E56" s="21" t="s">
        <v>9</v>
      </c>
      <c r="F56" s="21" t="s">
        <v>35</v>
      </c>
      <c r="G56" s="21" t="s">
        <v>36</v>
      </c>
      <c r="H56" s="1" t="s">
        <v>71</v>
      </c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5.75" customHeight="1">
      <c r="A57" s="1"/>
      <c r="B57" s="58" t="s">
        <v>72</v>
      </c>
      <c r="C57" s="50" t="s">
        <v>73</v>
      </c>
      <c r="D57" s="23" t="s">
        <v>74</v>
      </c>
      <c r="E57" s="51" t="s">
        <v>75</v>
      </c>
      <c r="F57" s="26">
        <v>3.0</v>
      </c>
      <c r="G57" s="51" t="s">
        <v>76</v>
      </c>
      <c r="H57" s="52" t="s">
        <v>41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58" t="s">
        <v>77</v>
      </c>
      <c r="C58" s="50" t="s">
        <v>73</v>
      </c>
      <c r="D58" s="27" t="s">
        <v>78</v>
      </c>
      <c r="E58" s="53" t="s">
        <v>79</v>
      </c>
      <c r="F58" s="30">
        <v>4.0</v>
      </c>
      <c r="G58" s="53">
        <v>2.0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58" t="s">
        <v>80</v>
      </c>
      <c r="C59" s="50" t="s">
        <v>73</v>
      </c>
      <c r="D59" s="27" t="s">
        <v>81</v>
      </c>
      <c r="E59" s="53">
        <v>1.0</v>
      </c>
      <c r="F59" s="30">
        <v>4.0</v>
      </c>
      <c r="G59" s="53">
        <v>4.0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58" t="s">
        <v>82</v>
      </c>
      <c r="C60" s="50" t="s">
        <v>73</v>
      </c>
      <c r="D60" s="27" t="s">
        <v>83</v>
      </c>
      <c r="E60" s="53" t="s">
        <v>79</v>
      </c>
      <c r="F60" s="30">
        <v>3.0</v>
      </c>
      <c r="G60" s="53" t="s">
        <v>75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75" customHeight="1">
      <c r="A61" s="1"/>
      <c r="B61" s="58" t="s">
        <v>84</v>
      </c>
      <c r="C61" s="50" t="s">
        <v>85</v>
      </c>
      <c r="D61" s="27" t="s">
        <v>86</v>
      </c>
      <c r="E61" s="53">
        <v>1.0</v>
      </c>
      <c r="F61" s="30">
        <v>4.0</v>
      </c>
      <c r="G61" s="53">
        <v>4.0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58" t="s">
        <v>87</v>
      </c>
      <c r="C62" s="50" t="s">
        <v>88</v>
      </c>
      <c r="D62" s="27" t="s">
        <v>89</v>
      </c>
      <c r="E62" s="53">
        <v>2.0</v>
      </c>
      <c r="F62" s="30">
        <v>2.0</v>
      </c>
      <c r="G62" s="53">
        <v>4.0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58" t="s">
        <v>90</v>
      </c>
      <c r="C63" s="50" t="s">
        <v>91</v>
      </c>
      <c r="D63" s="27" t="s">
        <v>92</v>
      </c>
      <c r="E63" s="53">
        <v>-1.0</v>
      </c>
      <c r="F63" s="30">
        <v>4.0</v>
      </c>
      <c r="G63" s="53">
        <v>-4.0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58" t="s">
        <v>93</v>
      </c>
      <c r="C64" s="50" t="s">
        <v>94</v>
      </c>
      <c r="D64" s="27" t="s">
        <v>95</v>
      </c>
      <c r="E64" s="53">
        <v>-1.0</v>
      </c>
      <c r="F64" s="30">
        <v>4.0</v>
      </c>
      <c r="G64" s="53">
        <v>-4.0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75" customHeight="1">
      <c r="A65" s="1"/>
      <c r="B65" s="32" t="s">
        <v>96</v>
      </c>
      <c r="C65" s="6"/>
      <c r="D65" s="6"/>
      <c r="E65" s="6"/>
      <c r="F65" s="7"/>
      <c r="G65" s="21">
        <f>SUM(G57:G64)</f>
        <v>6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75" customHeight="1">
      <c r="A66" s="1"/>
      <c r="B66" s="32" t="s">
        <v>145</v>
      </c>
      <c r="C66" s="6"/>
      <c r="D66" s="6"/>
      <c r="E66" s="6"/>
      <c r="F66" s="7"/>
      <c r="G66" s="21">
        <f>1.4 + (-0.03*G65)</f>
        <v>1.22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75" customHeight="1">
      <c r="A67" s="1"/>
      <c r="B67" s="32"/>
      <c r="C67" s="59"/>
      <c r="D67" s="60"/>
      <c r="E67" s="59"/>
      <c r="F67" s="61" t="s">
        <v>98</v>
      </c>
      <c r="G67" s="21">
        <f>COUNTIF($F$57:$F$62,"&lt;3")+COUNTIF($F$63:$F$64,"&gt;3")</f>
        <v>3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1"/>
      <c r="B68" s="34"/>
      <c r="C68" s="3"/>
      <c r="D68" s="3"/>
      <c r="E68" s="3"/>
      <c r="F68" s="3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75" customHeight="1">
      <c r="A69" s="1"/>
      <c r="B69" s="1"/>
      <c r="C69" s="1"/>
      <c r="D69" s="2"/>
      <c r="E69" s="3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47.25" customHeight="1">
      <c r="A70" s="20" t="s">
        <v>99</v>
      </c>
      <c r="B70" s="62" t="s">
        <v>146</v>
      </c>
      <c r="C70" s="6"/>
      <c r="D70" s="6"/>
      <c r="E70" s="6"/>
      <c r="F70" s="7"/>
      <c r="G70" s="63">
        <f>F35*G53*G66</f>
        <v>134.4562</v>
      </c>
      <c r="H70" s="96" t="s">
        <v>147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A71" s="1"/>
      <c r="B71" s="1"/>
      <c r="C71" s="1"/>
      <c r="D71" s="2"/>
      <c r="E71" s="3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75" customHeight="1">
      <c r="A72" s="1"/>
      <c r="B72" s="1"/>
      <c r="C72" s="1"/>
      <c r="D72" s="2"/>
      <c r="E72" s="3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64" t="s">
        <v>101</v>
      </c>
      <c r="B73" s="22" t="s">
        <v>102</v>
      </c>
      <c r="C73" s="22" t="s">
        <v>103</v>
      </c>
      <c r="D73" s="22" t="s">
        <v>104</v>
      </c>
      <c r="E73" s="3"/>
      <c r="F73" s="1"/>
      <c r="G73" s="22" t="s">
        <v>105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75" customHeight="1">
      <c r="A74" s="1"/>
      <c r="B74" s="65">
        <v>20.0</v>
      </c>
      <c r="C74" s="65">
        <f>IF($G$67&gt;=5,36,IF(AND(G$67&gt;2,$G$67&lt;=4),28, IF(AND($G$67&gt;=0,$G$67&lt;=2),20,"error")))</f>
        <v>28</v>
      </c>
      <c r="D74" s="66">
        <f>IF($G$67&gt;=5,$G$74*(36/20),IF(AND($G$67&gt;2,$G$67&lt;=4),$G$74*(28/20), IF(AND($G$67&gt;=0,$G$67&lt;=2),$G$74,"error")))</f>
        <v>2.324</v>
      </c>
      <c r="E74" s="3"/>
      <c r="F74" s="1"/>
      <c r="G74" s="97">
        <v>1.66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75" customHeight="1">
      <c r="A75" s="1"/>
      <c r="B75" s="68" t="s">
        <v>106</v>
      </c>
      <c r="C75" s="6"/>
      <c r="D75" s="7"/>
      <c r="E75" s="3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75" customHeight="1">
      <c r="A76" s="69" t="s">
        <v>107</v>
      </c>
      <c r="B76" s="65">
        <f t="shared" ref="B76:D76" si="1">$G$70*B74</f>
        <v>2689.124</v>
      </c>
      <c r="C76" s="65">
        <f t="shared" si="1"/>
        <v>3764.7736</v>
      </c>
      <c r="D76" s="65">
        <f t="shared" si="1"/>
        <v>312.4762088</v>
      </c>
      <c r="E76" s="3"/>
      <c r="F76" s="1"/>
      <c r="G76" s="22" t="s">
        <v>108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69" t="s">
        <v>109</v>
      </c>
      <c r="B77" s="70">
        <f>B76/(22*G77)</f>
        <v>61.11645455</v>
      </c>
      <c r="C77" s="70">
        <f>C76/(22*G77)</f>
        <v>85.56303636</v>
      </c>
      <c r="D77" s="71">
        <f>D76/(22*G77)</f>
        <v>7.101732018</v>
      </c>
      <c r="E77" s="3"/>
      <c r="F77" s="1"/>
      <c r="G77" s="67">
        <v>2.0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1"/>
      <c r="B78" s="1"/>
      <c r="C78" s="1"/>
      <c r="D78" s="2"/>
      <c r="E78" s="3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75" customHeight="1">
      <c r="A79" s="1"/>
      <c r="B79" s="1"/>
      <c r="C79" s="1"/>
      <c r="D79" s="2"/>
      <c r="E79" s="3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75" customHeight="1">
      <c r="A80" s="20" t="s">
        <v>110</v>
      </c>
      <c r="B80" s="72" t="s">
        <v>111</v>
      </c>
      <c r="C80" s="73"/>
      <c r="D80" s="60"/>
      <c r="E80" s="59"/>
      <c r="F80" s="74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75" customHeight="1">
      <c r="A81" s="1"/>
      <c r="B81" s="49" t="s">
        <v>112</v>
      </c>
      <c r="C81" s="21" t="s">
        <v>113</v>
      </c>
      <c r="D81" s="63" t="s">
        <v>114</v>
      </c>
      <c r="E81" s="63" t="s">
        <v>115</v>
      </c>
      <c r="F81" s="63" t="s">
        <v>116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75" customHeight="1">
      <c r="A82" s="1"/>
      <c r="B82" s="75" t="s">
        <v>117</v>
      </c>
      <c r="C82" s="76">
        <v>0.4</v>
      </c>
      <c r="D82" s="70">
        <f t="shared" ref="D82:F82" si="2">+B76</f>
        <v>2689.124</v>
      </c>
      <c r="E82" s="70">
        <f t="shared" si="2"/>
        <v>3764.7736</v>
      </c>
      <c r="F82" s="70">
        <f t="shared" si="2"/>
        <v>312.4762088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75" customHeight="1">
      <c r="A83" s="1"/>
      <c r="B83" s="75" t="s">
        <v>118</v>
      </c>
      <c r="C83" s="76">
        <f>1-C82</f>
        <v>0.6</v>
      </c>
      <c r="D83" s="65">
        <f t="shared" ref="D83:F83" si="3">+D82*1.5</f>
        <v>4033.686</v>
      </c>
      <c r="E83" s="65">
        <f t="shared" si="3"/>
        <v>5647.1604</v>
      </c>
      <c r="F83" s="65">
        <f t="shared" si="3"/>
        <v>468.7143132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75" customHeight="1">
      <c r="A84" s="1"/>
      <c r="B84" s="77"/>
      <c r="C84" s="76">
        <f>SUM(C82:C83)</f>
        <v>1</v>
      </c>
      <c r="D84" s="70">
        <f t="shared" ref="D84:F84" si="4">+D82+D83</f>
        <v>6722.81</v>
      </c>
      <c r="E84" s="70">
        <f t="shared" si="4"/>
        <v>9411.934</v>
      </c>
      <c r="F84" s="70">
        <f t="shared" si="4"/>
        <v>781.190522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75" customHeight="1">
      <c r="A85" s="1"/>
      <c r="B85" s="1"/>
      <c r="C85" s="1"/>
      <c r="D85" s="1"/>
      <c r="E85" s="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75" customHeight="1">
      <c r="A86" s="20" t="s">
        <v>119</v>
      </c>
      <c r="B86" s="72" t="s">
        <v>120</v>
      </c>
      <c r="C86" s="73"/>
      <c r="D86" s="60"/>
      <c r="E86" s="59"/>
      <c r="F86" s="74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75" customHeight="1">
      <c r="A87" s="1"/>
      <c r="B87" s="49" t="s">
        <v>112</v>
      </c>
      <c r="C87" s="21" t="s">
        <v>113</v>
      </c>
      <c r="D87" s="63" t="s">
        <v>121</v>
      </c>
      <c r="E87" s="63" t="s">
        <v>122</v>
      </c>
      <c r="F87" s="63" t="s">
        <v>123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75" customHeight="1">
      <c r="A88" s="1"/>
      <c r="B88" s="75" t="s">
        <v>117</v>
      </c>
      <c r="C88" s="76">
        <v>0.4</v>
      </c>
      <c r="D88" s="70">
        <f t="shared" ref="D88:F88" si="5">$C88/$C$88*B$77</f>
        <v>61.11645455</v>
      </c>
      <c r="E88" s="70">
        <f t="shared" si="5"/>
        <v>85.56303636</v>
      </c>
      <c r="F88" s="70">
        <f t="shared" si="5"/>
        <v>7.101732018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75" customHeight="1">
      <c r="A89" s="1"/>
      <c r="B89" s="75" t="s">
        <v>118</v>
      </c>
      <c r="C89" s="76">
        <f>1-C88</f>
        <v>0.6</v>
      </c>
      <c r="D89" s="65">
        <f t="shared" ref="D89:F89" si="6">$C89/$C$88*B$77</f>
        <v>91.67468182</v>
      </c>
      <c r="E89" s="65">
        <f t="shared" si="6"/>
        <v>128.3445545</v>
      </c>
      <c r="F89" s="65">
        <f t="shared" si="6"/>
        <v>10.65259803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75" customHeight="1">
      <c r="A90" s="1"/>
      <c r="B90" s="77"/>
      <c r="C90" s="76">
        <f>SUM(C88:C89)</f>
        <v>1</v>
      </c>
      <c r="D90" s="70">
        <f t="shared" ref="D90:F90" si="7">$C90/$C$88*B$77</f>
        <v>152.7911364</v>
      </c>
      <c r="E90" s="70">
        <f t="shared" si="7"/>
        <v>213.9075909</v>
      </c>
      <c r="F90" s="70">
        <f t="shared" si="7"/>
        <v>17.75433005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75" customHeight="1">
      <c r="A91" s="1"/>
      <c r="B91" s="1"/>
      <c r="C91" s="1"/>
      <c r="D91" s="2"/>
      <c r="E91" s="3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75" customHeight="1">
      <c r="A92" s="20" t="s">
        <v>124</v>
      </c>
      <c r="B92" s="78">
        <v>5.0</v>
      </c>
      <c r="C92" s="1"/>
      <c r="D92" s="2"/>
      <c r="E92" s="3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75" customHeight="1">
      <c r="A93" s="1"/>
      <c r="B93" s="1"/>
      <c r="C93" s="1"/>
      <c r="D93" s="2"/>
      <c r="E93" s="3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75" customHeight="1">
      <c r="A94" s="20" t="s">
        <v>125</v>
      </c>
      <c r="B94" s="63" t="s">
        <v>126</v>
      </c>
      <c r="C94" s="63" t="s">
        <v>127</v>
      </c>
      <c r="D94" s="63" t="s">
        <v>128</v>
      </c>
      <c r="E94" s="3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75" customHeight="1">
      <c r="A95" s="79"/>
      <c r="B95" s="80">
        <f>$D$90/$B$92</f>
        <v>30.55822727</v>
      </c>
      <c r="C95" s="80">
        <f>$E$90/$B$92</f>
        <v>42.78151818</v>
      </c>
      <c r="D95" s="80">
        <f>$F$90/$B$92</f>
        <v>3.550866009</v>
      </c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 ht="15.75" customHeight="1">
      <c r="A96" s="79"/>
      <c r="B96" s="79"/>
      <c r="C96" s="79"/>
      <c r="D96" s="79"/>
      <c r="E96" s="81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</row>
    <row r="97" ht="15.75" customHeight="1">
      <c r="A97" s="79"/>
      <c r="B97" s="79"/>
      <c r="C97" s="79"/>
      <c r="D97" s="79"/>
      <c r="E97" s="81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 ht="15.75" customHeight="1">
      <c r="A98" s="79"/>
      <c r="B98" s="79"/>
      <c r="C98" s="79"/>
      <c r="D98" s="79"/>
      <c r="E98" s="81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 ht="15.75" customHeight="1">
      <c r="A99" s="79"/>
      <c r="B99" s="79"/>
      <c r="C99" s="79"/>
      <c r="D99" s="79"/>
      <c r="E99" s="81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 ht="15.75" customHeight="1">
      <c r="A100" s="79"/>
      <c r="B100" s="79"/>
      <c r="C100" s="79"/>
      <c r="D100" s="79"/>
      <c r="E100" s="81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  <row r="101" ht="15.75" customHeight="1">
      <c r="A101" s="79"/>
      <c r="B101" s="79"/>
      <c r="C101" s="79"/>
      <c r="D101" s="79"/>
      <c r="E101" s="81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 ht="15.75" customHeight="1">
      <c r="A102" s="79"/>
      <c r="B102" s="79"/>
      <c r="C102" s="79"/>
      <c r="D102" s="79"/>
      <c r="E102" s="81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 ht="15.75" customHeight="1">
      <c r="A103" s="79"/>
      <c r="B103" s="79"/>
      <c r="C103" s="79"/>
      <c r="D103" s="79"/>
      <c r="E103" s="81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 ht="15.75" customHeight="1">
      <c r="A104" s="79"/>
      <c r="B104" s="79"/>
      <c r="C104" s="79"/>
      <c r="D104" s="79"/>
      <c r="E104" s="81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</row>
    <row r="105" ht="15.75" customHeight="1">
      <c r="A105" s="79"/>
      <c r="B105" s="79"/>
      <c r="C105" s="79"/>
      <c r="D105" s="79"/>
      <c r="E105" s="81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</row>
    <row r="106" ht="15.75" customHeight="1">
      <c r="A106" s="79"/>
      <c r="B106" s="79"/>
      <c r="C106" s="79"/>
      <c r="D106" s="79"/>
      <c r="E106" s="81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</row>
    <row r="107" ht="15.75" customHeight="1">
      <c r="A107" s="79"/>
      <c r="B107" s="79"/>
      <c r="C107" s="79"/>
      <c r="D107" s="79"/>
      <c r="E107" s="81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</row>
    <row r="108" ht="15.75" customHeight="1">
      <c r="A108" s="79"/>
      <c r="B108" s="79"/>
      <c r="C108" s="79"/>
      <c r="D108" s="79"/>
      <c r="E108" s="81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</row>
    <row r="109" ht="15.75" customHeight="1">
      <c r="A109" s="79"/>
      <c r="B109" s="79"/>
      <c r="C109" s="79"/>
      <c r="D109" s="79"/>
      <c r="E109" s="81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</row>
    <row r="110" ht="15.75" customHeight="1">
      <c r="A110" s="79"/>
      <c r="B110" s="79"/>
      <c r="C110" s="79"/>
      <c r="D110" s="79"/>
      <c r="E110" s="81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</row>
    <row r="111" ht="15.75" customHeight="1">
      <c r="A111" s="79"/>
      <c r="B111" s="79"/>
      <c r="C111" s="79"/>
      <c r="D111" s="79"/>
      <c r="E111" s="81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</row>
    <row r="112" ht="15.75" customHeight="1">
      <c r="A112" s="1"/>
      <c r="B112" s="1"/>
      <c r="C112" s="1"/>
      <c r="D112" s="2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2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2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2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2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2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2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2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2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2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2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2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2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2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2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2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2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2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2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2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2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2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2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2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2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2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2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2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2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2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2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2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2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2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2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2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2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2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2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2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2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2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2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2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2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2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2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2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2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2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2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2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2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2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2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2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2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2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2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2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2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2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2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2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2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2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2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2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2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2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2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2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2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2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2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2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2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2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2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2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2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2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2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2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2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2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2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2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2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2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2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2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2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2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2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2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2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2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2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2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2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2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2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2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2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2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2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2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2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2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2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2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2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2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2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2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2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2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2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2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2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2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2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2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2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2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2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2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2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2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2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2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2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2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2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2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2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2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2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2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2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2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2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2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2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2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2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2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2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2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2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2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2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2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2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2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2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2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2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2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2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2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2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2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2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2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2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2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2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2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2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2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2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2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2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2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2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2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2"/>
      <c r="E290" s="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2"/>
      <c r="E291" s="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2"/>
      <c r="E292" s="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2"/>
      <c r="E293" s="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2"/>
      <c r="E294" s="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2"/>
      <c r="E295" s="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2"/>
      <c r="E296" s="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2"/>
      <c r="E297" s="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2"/>
      <c r="E298" s="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2"/>
      <c r="E299" s="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2"/>
      <c r="E300" s="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2"/>
      <c r="E301" s="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2"/>
      <c r="E302" s="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2"/>
      <c r="E303" s="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2"/>
      <c r="E304" s="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2"/>
      <c r="E305" s="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2"/>
      <c r="E306" s="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2"/>
      <c r="E307" s="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2"/>
      <c r="E308" s="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2"/>
      <c r="E309" s="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2"/>
      <c r="E310" s="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2"/>
      <c r="E311" s="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2"/>
      <c r="E312" s="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2"/>
      <c r="E313" s="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2"/>
      <c r="E314" s="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2"/>
      <c r="E315" s="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2"/>
      <c r="E316" s="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2"/>
      <c r="E317" s="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2"/>
      <c r="E318" s="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2"/>
      <c r="E319" s="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2"/>
      <c r="E320" s="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2"/>
      <c r="E321" s="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2"/>
      <c r="E322" s="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2"/>
      <c r="E323" s="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2"/>
      <c r="E324" s="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2"/>
      <c r="E325" s="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2"/>
      <c r="E326" s="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2"/>
      <c r="E327" s="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2"/>
      <c r="E328" s="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2"/>
      <c r="E329" s="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2"/>
      <c r="E330" s="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2"/>
      <c r="E331" s="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2"/>
      <c r="E332" s="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2"/>
      <c r="E333" s="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2"/>
      <c r="E334" s="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2"/>
      <c r="E335" s="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2"/>
      <c r="E336" s="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2"/>
      <c r="E337" s="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2"/>
      <c r="E338" s="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2"/>
      <c r="E339" s="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2"/>
      <c r="E340" s="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2"/>
      <c r="E341" s="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2"/>
      <c r="E342" s="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2"/>
      <c r="E343" s="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2"/>
      <c r="E344" s="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2"/>
      <c r="E345" s="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2"/>
      <c r="E346" s="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2"/>
      <c r="E347" s="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2"/>
      <c r="E348" s="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2"/>
      <c r="E349" s="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2"/>
      <c r="E350" s="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2"/>
      <c r="E351" s="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2"/>
      <c r="E352" s="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2"/>
      <c r="E353" s="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2"/>
      <c r="E354" s="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2"/>
      <c r="E355" s="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2"/>
      <c r="E356" s="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2"/>
      <c r="E357" s="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2"/>
      <c r="E358" s="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2"/>
      <c r="E359" s="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2"/>
      <c r="E360" s="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2"/>
      <c r="E361" s="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2"/>
      <c r="E362" s="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2"/>
      <c r="E363" s="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2"/>
      <c r="E364" s="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2"/>
      <c r="E365" s="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2"/>
      <c r="E366" s="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2"/>
      <c r="E367" s="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2"/>
      <c r="E368" s="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2"/>
      <c r="E369" s="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2"/>
      <c r="E370" s="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2"/>
      <c r="E371" s="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2"/>
      <c r="E372" s="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2"/>
      <c r="E373" s="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2"/>
      <c r="E374" s="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2"/>
      <c r="E375" s="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2"/>
      <c r="E376" s="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2"/>
      <c r="E377" s="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2"/>
      <c r="E378" s="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2"/>
      <c r="E379" s="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2"/>
      <c r="E380" s="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2"/>
      <c r="E381" s="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2"/>
      <c r="E382" s="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2"/>
      <c r="E383" s="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2"/>
      <c r="E384" s="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2"/>
      <c r="E385" s="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2"/>
      <c r="E386" s="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2"/>
      <c r="E387" s="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2"/>
      <c r="E388" s="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2"/>
      <c r="E389" s="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2"/>
      <c r="E390" s="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2"/>
      <c r="E391" s="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2"/>
      <c r="E392" s="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2"/>
      <c r="E393" s="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2"/>
      <c r="E394" s="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2"/>
      <c r="E395" s="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2"/>
      <c r="E396" s="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2"/>
      <c r="E397" s="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2"/>
      <c r="E398" s="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2"/>
      <c r="E399" s="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2"/>
      <c r="E400" s="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2"/>
      <c r="E401" s="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2"/>
      <c r="E402" s="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2"/>
      <c r="E403" s="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2"/>
      <c r="E404" s="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2"/>
      <c r="E405" s="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2"/>
      <c r="E406" s="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2"/>
      <c r="E407" s="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2"/>
      <c r="E408" s="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2"/>
      <c r="E409" s="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2"/>
      <c r="E410" s="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2"/>
      <c r="E411" s="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2"/>
      <c r="E412" s="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2"/>
      <c r="E413" s="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2"/>
      <c r="E414" s="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2"/>
      <c r="E415" s="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2"/>
      <c r="E416" s="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2"/>
      <c r="E417" s="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2"/>
      <c r="E418" s="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2"/>
      <c r="E419" s="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2"/>
      <c r="E420" s="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2"/>
      <c r="E421" s="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2"/>
      <c r="E422" s="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2"/>
      <c r="E423" s="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2"/>
      <c r="E424" s="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2"/>
      <c r="E425" s="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2"/>
      <c r="E426" s="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2"/>
      <c r="E427" s="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2"/>
      <c r="E428" s="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2"/>
      <c r="E429" s="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2"/>
      <c r="E430" s="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2"/>
      <c r="E431" s="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2"/>
      <c r="E432" s="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2"/>
      <c r="E433" s="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2"/>
      <c r="E434" s="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2"/>
      <c r="E435" s="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2"/>
      <c r="E436" s="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2"/>
      <c r="E437" s="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2"/>
      <c r="E438" s="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2"/>
      <c r="E439" s="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2"/>
      <c r="E440" s="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2"/>
      <c r="E441" s="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2"/>
      <c r="E442" s="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2"/>
      <c r="E443" s="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2"/>
      <c r="E444" s="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2"/>
      <c r="E445" s="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2"/>
      <c r="E446" s="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2"/>
      <c r="E447" s="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2"/>
      <c r="E448" s="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2"/>
      <c r="E449" s="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2"/>
      <c r="E450" s="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2"/>
      <c r="E451" s="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2"/>
      <c r="E452" s="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2"/>
      <c r="E453" s="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2"/>
      <c r="E454" s="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2"/>
      <c r="E455" s="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2"/>
      <c r="E456" s="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2"/>
      <c r="E457" s="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2"/>
      <c r="E458" s="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2"/>
      <c r="E459" s="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2"/>
      <c r="E460" s="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2"/>
      <c r="E461" s="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2"/>
      <c r="E462" s="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2"/>
      <c r="E463" s="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2"/>
      <c r="E464" s="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2"/>
      <c r="E465" s="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2"/>
      <c r="E466" s="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2"/>
      <c r="E467" s="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2"/>
      <c r="E468" s="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2"/>
      <c r="E469" s="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2"/>
      <c r="E470" s="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2"/>
      <c r="E471" s="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2"/>
      <c r="E472" s="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2"/>
      <c r="E473" s="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2"/>
      <c r="E474" s="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2"/>
      <c r="E475" s="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2"/>
      <c r="E476" s="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2"/>
      <c r="E477" s="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2"/>
      <c r="E478" s="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2"/>
      <c r="E479" s="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2"/>
      <c r="E480" s="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2"/>
      <c r="E481" s="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2"/>
      <c r="E482" s="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2"/>
      <c r="E483" s="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2"/>
      <c r="E484" s="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2"/>
      <c r="E485" s="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2"/>
      <c r="E486" s="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2"/>
      <c r="E487" s="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2"/>
      <c r="E488" s="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2"/>
      <c r="E489" s="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2"/>
      <c r="E490" s="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2"/>
      <c r="E491" s="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2"/>
      <c r="E492" s="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2"/>
      <c r="E493" s="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2"/>
      <c r="E494" s="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2"/>
      <c r="E495" s="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2"/>
      <c r="E496" s="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2"/>
      <c r="E497" s="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2"/>
      <c r="E498" s="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2"/>
      <c r="E499" s="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2"/>
      <c r="E500" s="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2"/>
      <c r="E501" s="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2"/>
      <c r="E502" s="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2"/>
      <c r="E503" s="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2"/>
      <c r="E504" s="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2"/>
      <c r="E505" s="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2"/>
      <c r="E506" s="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2"/>
      <c r="E507" s="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2"/>
      <c r="E508" s="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2"/>
      <c r="E509" s="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2"/>
      <c r="E510" s="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2"/>
      <c r="E511" s="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2"/>
      <c r="E512" s="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2"/>
      <c r="E513" s="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2"/>
      <c r="E514" s="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2"/>
      <c r="E515" s="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2"/>
      <c r="E516" s="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2"/>
      <c r="E517" s="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2"/>
      <c r="E518" s="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2"/>
      <c r="E519" s="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2"/>
      <c r="E520" s="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2"/>
      <c r="E521" s="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2"/>
      <c r="E522" s="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2"/>
      <c r="E523" s="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2"/>
      <c r="E524" s="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2"/>
      <c r="E525" s="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2"/>
      <c r="E526" s="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2"/>
      <c r="E527" s="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2"/>
      <c r="E528" s="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2"/>
      <c r="E529" s="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2"/>
      <c r="E530" s="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2"/>
      <c r="E531" s="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2"/>
      <c r="E532" s="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2"/>
      <c r="E533" s="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2"/>
      <c r="E534" s="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2"/>
      <c r="E535" s="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2"/>
      <c r="E536" s="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2"/>
      <c r="E537" s="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2"/>
      <c r="E538" s="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2"/>
      <c r="E539" s="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2"/>
      <c r="E540" s="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2"/>
      <c r="E541" s="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2"/>
      <c r="E542" s="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2"/>
      <c r="E543" s="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2"/>
      <c r="E544" s="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2"/>
      <c r="E545" s="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2"/>
      <c r="E546" s="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2"/>
      <c r="E547" s="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2"/>
      <c r="E548" s="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2"/>
      <c r="E549" s="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2"/>
      <c r="E550" s="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2"/>
      <c r="E551" s="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2"/>
      <c r="E552" s="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2"/>
      <c r="E553" s="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2"/>
      <c r="E554" s="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2"/>
      <c r="E555" s="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2"/>
      <c r="E556" s="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2"/>
      <c r="E557" s="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2"/>
      <c r="E558" s="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2"/>
      <c r="E559" s="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2"/>
      <c r="E560" s="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2"/>
      <c r="E561" s="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2"/>
      <c r="E562" s="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2"/>
      <c r="E563" s="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2"/>
      <c r="E564" s="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2"/>
      <c r="E565" s="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2"/>
      <c r="E566" s="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2"/>
      <c r="E567" s="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2"/>
      <c r="E568" s="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2"/>
      <c r="E569" s="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2"/>
      <c r="E570" s="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2"/>
      <c r="E571" s="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2"/>
      <c r="E572" s="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2"/>
      <c r="E573" s="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2"/>
      <c r="E574" s="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2"/>
      <c r="E575" s="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2"/>
      <c r="E576" s="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2"/>
      <c r="E577" s="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2"/>
      <c r="E578" s="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2"/>
      <c r="E579" s="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2"/>
      <c r="E580" s="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2"/>
      <c r="E581" s="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2"/>
      <c r="E582" s="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2"/>
      <c r="E583" s="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2"/>
      <c r="E584" s="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2"/>
      <c r="E585" s="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2"/>
      <c r="E586" s="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2"/>
      <c r="E587" s="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2"/>
      <c r="E588" s="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2"/>
      <c r="E589" s="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2"/>
      <c r="E590" s="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2"/>
      <c r="E591" s="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2"/>
      <c r="E592" s="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2"/>
      <c r="E593" s="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2"/>
      <c r="E594" s="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2"/>
      <c r="E595" s="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2"/>
      <c r="E596" s="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2"/>
      <c r="E597" s="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2"/>
      <c r="E598" s="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2"/>
      <c r="E599" s="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2"/>
      <c r="E600" s="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2"/>
      <c r="E601" s="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2"/>
      <c r="E602" s="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2"/>
      <c r="E603" s="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2"/>
      <c r="E604" s="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2"/>
      <c r="E605" s="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2"/>
      <c r="E606" s="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2"/>
      <c r="E607" s="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2"/>
      <c r="E608" s="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2"/>
      <c r="E609" s="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2"/>
      <c r="E610" s="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2"/>
      <c r="E611" s="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2"/>
      <c r="E612" s="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2"/>
      <c r="E613" s="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2"/>
      <c r="E614" s="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2"/>
      <c r="E615" s="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2"/>
      <c r="E616" s="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2"/>
      <c r="E617" s="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2"/>
      <c r="E618" s="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2"/>
      <c r="E619" s="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2"/>
      <c r="E620" s="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2"/>
      <c r="E621" s="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2"/>
      <c r="E622" s="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2"/>
      <c r="E623" s="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2"/>
      <c r="E624" s="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2"/>
      <c r="E625" s="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2"/>
      <c r="E626" s="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2"/>
      <c r="E627" s="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2"/>
      <c r="E628" s="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2"/>
      <c r="E629" s="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2"/>
      <c r="E630" s="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2"/>
      <c r="E631" s="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2"/>
      <c r="E632" s="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2"/>
      <c r="E633" s="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2"/>
      <c r="E634" s="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2"/>
      <c r="E635" s="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2"/>
      <c r="E636" s="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2"/>
      <c r="E637" s="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2"/>
      <c r="E638" s="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2"/>
      <c r="E639" s="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2"/>
      <c r="E640" s="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2"/>
      <c r="E641" s="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2"/>
      <c r="E642" s="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2"/>
      <c r="E643" s="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2"/>
      <c r="E644" s="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2"/>
      <c r="E645" s="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2"/>
      <c r="E646" s="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2"/>
      <c r="E647" s="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2"/>
      <c r="E648" s="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2"/>
      <c r="E649" s="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2"/>
      <c r="E650" s="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2"/>
      <c r="E651" s="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2"/>
      <c r="E652" s="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2"/>
      <c r="E653" s="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2"/>
      <c r="E654" s="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2"/>
      <c r="E655" s="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2"/>
      <c r="E656" s="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2"/>
      <c r="E657" s="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2"/>
      <c r="E658" s="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2"/>
      <c r="E659" s="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2"/>
      <c r="E660" s="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2"/>
      <c r="E661" s="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2"/>
      <c r="E662" s="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2"/>
      <c r="E663" s="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2"/>
      <c r="E664" s="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2"/>
      <c r="E665" s="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2"/>
      <c r="E666" s="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2"/>
      <c r="E667" s="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2"/>
      <c r="E668" s="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2"/>
      <c r="E669" s="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2"/>
      <c r="E670" s="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2"/>
      <c r="E671" s="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2"/>
      <c r="E672" s="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2"/>
      <c r="E673" s="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2"/>
      <c r="E674" s="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2"/>
      <c r="E675" s="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2"/>
      <c r="E676" s="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2"/>
      <c r="E677" s="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2"/>
      <c r="E678" s="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2"/>
      <c r="E679" s="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2"/>
      <c r="E680" s="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2"/>
      <c r="E681" s="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2"/>
      <c r="E682" s="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2"/>
      <c r="E683" s="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2"/>
      <c r="E684" s="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2"/>
      <c r="E685" s="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2"/>
      <c r="E686" s="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2"/>
      <c r="E687" s="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2"/>
      <c r="E688" s="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2"/>
      <c r="E689" s="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2"/>
      <c r="E690" s="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2"/>
      <c r="E691" s="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2"/>
      <c r="E692" s="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2"/>
      <c r="E693" s="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2"/>
      <c r="E694" s="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2"/>
      <c r="E695" s="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2"/>
      <c r="E696" s="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2"/>
      <c r="E697" s="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2"/>
      <c r="E698" s="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2"/>
      <c r="E699" s="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2"/>
      <c r="E700" s="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2"/>
      <c r="E701" s="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2"/>
      <c r="E702" s="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2"/>
      <c r="E703" s="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2"/>
      <c r="E704" s="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2"/>
      <c r="E705" s="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2"/>
      <c r="E706" s="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2"/>
      <c r="E707" s="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2"/>
      <c r="E708" s="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2"/>
      <c r="E709" s="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2"/>
      <c r="E710" s="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2"/>
      <c r="E711" s="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2"/>
      <c r="E712" s="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2"/>
      <c r="E713" s="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2"/>
      <c r="E714" s="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2"/>
      <c r="E715" s="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2"/>
      <c r="E716" s="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2"/>
      <c r="E717" s="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2"/>
      <c r="E718" s="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2"/>
      <c r="E719" s="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2"/>
      <c r="E720" s="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2"/>
      <c r="E721" s="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2"/>
      <c r="E722" s="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2"/>
      <c r="E723" s="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2"/>
      <c r="E724" s="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2"/>
      <c r="E725" s="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2"/>
      <c r="E726" s="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2"/>
      <c r="E727" s="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2"/>
      <c r="E728" s="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2"/>
      <c r="E729" s="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2"/>
      <c r="E730" s="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2"/>
      <c r="E731" s="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2"/>
      <c r="E732" s="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2"/>
      <c r="E733" s="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2"/>
      <c r="E734" s="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2"/>
      <c r="E735" s="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2"/>
      <c r="E736" s="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2"/>
      <c r="E737" s="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2"/>
      <c r="E738" s="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2"/>
      <c r="E739" s="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2"/>
      <c r="E740" s="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2"/>
      <c r="E741" s="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2"/>
      <c r="E742" s="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2"/>
      <c r="E743" s="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2"/>
      <c r="E744" s="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2"/>
      <c r="E745" s="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2"/>
      <c r="E746" s="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2"/>
      <c r="E747" s="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2"/>
      <c r="E748" s="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2"/>
      <c r="E749" s="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2"/>
      <c r="E750" s="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2"/>
      <c r="E751" s="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2"/>
      <c r="E752" s="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2"/>
      <c r="E753" s="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2"/>
      <c r="E754" s="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2"/>
      <c r="E755" s="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2"/>
      <c r="E756" s="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2"/>
      <c r="E757" s="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2"/>
      <c r="E758" s="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2"/>
      <c r="E759" s="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2"/>
      <c r="E760" s="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2"/>
      <c r="E761" s="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2"/>
      <c r="E762" s="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2"/>
      <c r="E763" s="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2"/>
      <c r="E764" s="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2"/>
      <c r="E765" s="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2"/>
      <c r="E766" s="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2"/>
      <c r="E767" s="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2"/>
      <c r="E768" s="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2"/>
      <c r="E769" s="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2"/>
      <c r="E770" s="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2"/>
      <c r="E771" s="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2"/>
      <c r="E772" s="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2"/>
      <c r="E773" s="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2"/>
      <c r="E774" s="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2"/>
      <c r="E775" s="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2"/>
      <c r="E776" s="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2"/>
      <c r="E777" s="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2"/>
      <c r="E778" s="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2"/>
      <c r="E779" s="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2"/>
      <c r="E780" s="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2"/>
      <c r="E781" s="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2"/>
      <c r="E782" s="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2"/>
      <c r="E783" s="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2"/>
      <c r="E784" s="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2"/>
      <c r="E785" s="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2"/>
      <c r="E786" s="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2"/>
      <c r="E787" s="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2"/>
      <c r="E788" s="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2"/>
      <c r="E789" s="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2"/>
      <c r="E790" s="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2"/>
      <c r="E791" s="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2"/>
      <c r="E792" s="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2"/>
      <c r="E793" s="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2"/>
      <c r="E794" s="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2"/>
      <c r="E795" s="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2"/>
      <c r="E796" s="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2"/>
      <c r="E797" s="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2"/>
      <c r="E798" s="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2"/>
      <c r="E799" s="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2"/>
      <c r="E800" s="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2"/>
      <c r="E801" s="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2"/>
      <c r="E802" s="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2"/>
      <c r="E803" s="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2"/>
      <c r="E804" s="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2"/>
      <c r="E805" s="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2"/>
      <c r="E806" s="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2"/>
      <c r="E807" s="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2"/>
      <c r="E808" s="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2"/>
      <c r="E809" s="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2"/>
      <c r="E810" s="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2"/>
      <c r="E811" s="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2"/>
      <c r="E812" s="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2"/>
      <c r="E813" s="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2"/>
      <c r="E814" s="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2"/>
      <c r="E815" s="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2"/>
      <c r="E816" s="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2"/>
      <c r="E817" s="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2"/>
      <c r="E818" s="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2"/>
      <c r="E819" s="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2"/>
      <c r="E820" s="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2"/>
      <c r="E821" s="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2"/>
      <c r="E822" s="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2"/>
      <c r="E823" s="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2"/>
      <c r="E824" s="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2"/>
      <c r="E825" s="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2"/>
      <c r="E826" s="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2"/>
      <c r="E827" s="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2"/>
      <c r="E828" s="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2"/>
      <c r="E829" s="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2"/>
      <c r="E830" s="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2"/>
      <c r="E831" s="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2"/>
      <c r="E832" s="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2"/>
      <c r="E833" s="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2"/>
      <c r="E834" s="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2"/>
      <c r="E835" s="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2"/>
      <c r="E836" s="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2"/>
      <c r="E837" s="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2"/>
      <c r="E838" s="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2"/>
      <c r="E839" s="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2"/>
      <c r="E840" s="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2"/>
      <c r="E841" s="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2"/>
      <c r="E842" s="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2"/>
      <c r="E843" s="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2"/>
      <c r="E844" s="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2"/>
      <c r="E845" s="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2"/>
      <c r="E846" s="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2"/>
      <c r="E847" s="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2"/>
      <c r="E848" s="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2"/>
      <c r="E849" s="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2"/>
      <c r="E850" s="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2"/>
      <c r="E851" s="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2"/>
      <c r="E852" s="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2"/>
      <c r="E853" s="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2"/>
      <c r="E854" s="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2"/>
      <c r="E855" s="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2"/>
      <c r="E856" s="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2"/>
      <c r="E857" s="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2"/>
      <c r="E858" s="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2"/>
      <c r="E859" s="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2"/>
      <c r="E860" s="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2"/>
      <c r="E861" s="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2"/>
      <c r="E862" s="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2"/>
      <c r="E863" s="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2"/>
      <c r="E864" s="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2"/>
      <c r="E865" s="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2"/>
      <c r="E866" s="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2"/>
      <c r="E867" s="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2"/>
      <c r="E868" s="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2"/>
      <c r="E869" s="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2"/>
      <c r="E870" s="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2"/>
      <c r="E871" s="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2"/>
      <c r="E872" s="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2"/>
      <c r="E873" s="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2"/>
      <c r="E874" s="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2"/>
      <c r="E875" s="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2"/>
      <c r="E876" s="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2"/>
      <c r="E877" s="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2"/>
      <c r="E878" s="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2"/>
      <c r="E879" s="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2"/>
      <c r="E880" s="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2"/>
      <c r="E881" s="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2"/>
      <c r="E882" s="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2"/>
      <c r="E883" s="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2"/>
      <c r="E884" s="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2"/>
      <c r="E885" s="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2"/>
      <c r="E886" s="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2"/>
      <c r="E887" s="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2"/>
      <c r="E888" s="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2"/>
      <c r="E889" s="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2"/>
      <c r="E890" s="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2"/>
      <c r="E891" s="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2"/>
      <c r="E892" s="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2"/>
      <c r="E893" s="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2"/>
      <c r="E894" s="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2"/>
      <c r="E895" s="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2"/>
      <c r="E896" s="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2"/>
      <c r="E897" s="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2"/>
      <c r="E898" s="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2"/>
      <c r="E899" s="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2"/>
      <c r="E900" s="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2"/>
      <c r="E901" s="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2"/>
      <c r="E902" s="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2"/>
      <c r="E903" s="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2"/>
      <c r="E904" s="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2"/>
      <c r="E905" s="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2"/>
      <c r="E906" s="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2"/>
      <c r="E907" s="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2"/>
      <c r="E908" s="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2"/>
      <c r="E909" s="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2"/>
      <c r="E910" s="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2"/>
      <c r="E911" s="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2"/>
      <c r="E912" s="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2"/>
      <c r="E913" s="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2"/>
      <c r="E914" s="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2"/>
      <c r="E915" s="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2"/>
      <c r="E916" s="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2"/>
      <c r="E917" s="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2"/>
      <c r="E918" s="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2"/>
      <c r="E919" s="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2"/>
      <c r="E920" s="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2"/>
      <c r="E921" s="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2"/>
      <c r="E922" s="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2"/>
      <c r="E923" s="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2"/>
      <c r="E924" s="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2"/>
      <c r="E925" s="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2"/>
      <c r="E926" s="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2"/>
      <c r="E927" s="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2"/>
      <c r="E928" s="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2"/>
      <c r="E929" s="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2"/>
      <c r="E930" s="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2"/>
      <c r="E931" s="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2"/>
      <c r="E932" s="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2"/>
      <c r="E933" s="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2"/>
      <c r="E934" s="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2"/>
      <c r="E935" s="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2"/>
      <c r="E936" s="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2"/>
      <c r="E937" s="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2"/>
      <c r="E938" s="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2"/>
      <c r="E939" s="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2"/>
      <c r="E940" s="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2"/>
      <c r="E941" s="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2"/>
      <c r="E942" s="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2"/>
      <c r="E943" s="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2"/>
      <c r="E944" s="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2"/>
      <c r="E945" s="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2"/>
      <c r="E946" s="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2"/>
      <c r="E947" s="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2"/>
      <c r="E948" s="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2"/>
      <c r="E949" s="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2"/>
      <c r="E950" s="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2"/>
      <c r="E951" s="3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2"/>
      <c r="E952" s="3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2"/>
      <c r="E953" s="3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2"/>
      <c r="E954" s="3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2"/>
      <c r="E955" s="3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2"/>
      <c r="E956" s="3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2"/>
      <c r="E957" s="3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2"/>
      <c r="E958" s="3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2"/>
      <c r="E959" s="3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2"/>
      <c r="E960" s="3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2"/>
      <c r="E961" s="3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2"/>
      <c r="E962" s="3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2"/>
      <c r="E963" s="3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2"/>
      <c r="E964" s="3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2"/>
      <c r="E965" s="3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2"/>
      <c r="E966" s="3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2"/>
      <c r="E967" s="3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2"/>
      <c r="E968" s="3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2"/>
      <c r="E969" s="3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2"/>
      <c r="E970" s="3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2"/>
      <c r="E971" s="3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2"/>
      <c r="E972" s="3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2"/>
      <c r="E973" s="3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2"/>
      <c r="E974" s="3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2"/>
      <c r="E975" s="3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2"/>
      <c r="E976" s="3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2"/>
      <c r="E977" s="3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2"/>
      <c r="E978" s="3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2"/>
      <c r="E979" s="3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2"/>
      <c r="E980" s="3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2"/>
      <c r="E981" s="3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2"/>
      <c r="E982" s="3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2"/>
      <c r="E983" s="3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2"/>
      <c r="E984" s="3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2"/>
      <c r="E985" s="3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2"/>
      <c r="E986" s="3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2"/>
      <c r="E987" s="3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2"/>
      <c r="E988" s="3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2"/>
      <c r="E989" s="3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2"/>
      <c r="E990" s="3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2"/>
      <c r="E991" s="3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2"/>
      <c r="E992" s="3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2"/>
      <c r="E993" s="3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2"/>
      <c r="E994" s="3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2"/>
      <c r="E995" s="3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2"/>
      <c r="E996" s="3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2"/>
      <c r="E997" s="3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2"/>
      <c r="E998" s="3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2"/>
      <c r="E999" s="3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2"/>
      <c r="E1000" s="3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2"/>
      <c r="E1001" s="3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1"/>
      <c r="D1002" s="2"/>
      <c r="E1002" s="3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"/>
      <c r="C1003" s="1"/>
      <c r="D1003" s="2"/>
      <c r="E1003" s="3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1"/>
      <c r="C1004" s="1"/>
      <c r="D1004" s="2"/>
      <c r="E1004" s="3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1"/>
      <c r="B1005" s="1"/>
      <c r="C1005" s="1"/>
      <c r="D1005" s="2"/>
      <c r="E1005" s="3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5.75" customHeight="1">
      <c r="A1006" s="1"/>
      <c r="B1006" s="1"/>
      <c r="C1006" s="1"/>
      <c r="D1006" s="2"/>
      <c r="E1006" s="3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5.75" customHeight="1">
      <c r="A1007" s="1"/>
      <c r="B1007" s="1"/>
      <c r="C1007" s="1"/>
      <c r="D1007" s="2"/>
      <c r="E1007" s="3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5.75" customHeight="1">
      <c r="A1008" s="1"/>
      <c r="B1008" s="1"/>
      <c r="C1008" s="1"/>
      <c r="D1008" s="2"/>
      <c r="E1008" s="3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5.75" customHeight="1">
      <c r="A1009" s="1"/>
      <c r="B1009" s="1"/>
      <c r="C1009" s="1"/>
      <c r="D1009" s="2"/>
      <c r="E1009" s="3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5.75" customHeight="1">
      <c r="A1010" s="1"/>
      <c r="B1010" s="1"/>
      <c r="C1010" s="1"/>
      <c r="D1010" s="2"/>
      <c r="E1010" s="3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5.75" customHeight="1">
      <c r="A1011" s="1"/>
      <c r="B1011" s="1"/>
      <c r="C1011" s="1"/>
      <c r="D1011" s="2"/>
      <c r="E1011" s="3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5.75" customHeight="1">
      <c r="A1012" s="1"/>
      <c r="B1012" s="1"/>
      <c r="C1012" s="1"/>
      <c r="D1012" s="2"/>
      <c r="E1012" s="3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5.75" customHeight="1">
      <c r="A1013" s="1"/>
      <c r="B1013" s="1"/>
      <c r="C1013" s="1"/>
      <c r="D1013" s="2"/>
      <c r="E1013" s="3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ht="15.75" customHeight="1">
      <c r="A1014" s="1"/>
      <c r="B1014" s="1"/>
      <c r="C1014" s="1"/>
      <c r="D1014" s="2"/>
      <c r="E1014" s="3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ht="15.75" customHeight="1">
      <c r="A1015" s="1"/>
      <c r="B1015" s="1"/>
      <c r="C1015" s="1"/>
      <c r="D1015" s="2"/>
      <c r="E1015" s="3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ht="15.75" customHeight="1">
      <c r="A1016" s="1"/>
      <c r="B1016" s="1"/>
      <c r="C1016" s="1"/>
      <c r="D1016" s="2"/>
      <c r="E1016" s="3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</sheetData>
  <mergeCells count="10">
    <mergeCell ref="B66:F66"/>
    <mergeCell ref="B70:F70"/>
    <mergeCell ref="B75:D75"/>
    <mergeCell ref="B2:G2"/>
    <mergeCell ref="C12:F12"/>
    <mergeCell ref="C32:E32"/>
    <mergeCell ref="C35:E35"/>
    <mergeCell ref="B52:F52"/>
    <mergeCell ref="B53:F53"/>
    <mergeCell ref="B65:F65"/>
  </mergeCells>
  <dataValidations>
    <dataValidation type="decimal" allowBlank="1" showInputMessage="1" showErrorMessage="1" prompt="Entre 1 y 9 personas." sqref="B92">
      <formula1>1.0</formula1>
      <formula2>9.0</formula2>
    </dataValidation>
  </dataValidations>
  <hyperlinks>
    <hyperlink r:id="rId1" location="v=onepage&amp;q=e7%20part-time%20members&amp;f=false" ref="H39"/>
    <hyperlink r:id="rId2" location="v=onepage&amp;q=e7%20part-time%20members&amp;f=false" ref="H57"/>
  </hyperlinks>
  <printOptions/>
  <pageMargins bottom="1.0" footer="0.0" header="0.0" left="0.75" right="0.75" top="1.0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75"/>
    <col customWidth="1" min="2" max="2" width="32.13"/>
    <col customWidth="1" min="3" max="3" width="33.38"/>
    <col customWidth="1" min="4" max="4" width="38.63"/>
    <col customWidth="1" min="5" max="5" width="13.63"/>
    <col customWidth="1" min="6" max="6" width="16.13"/>
    <col customWidth="1" min="7" max="7" width="16.75"/>
    <col customWidth="1" min="8" max="8" width="34.38"/>
    <col customWidth="1" min="9" max="9" width="10.63"/>
    <col customWidth="1" min="10" max="10" width="13.75"/>
    <col customWidth="1" min="11" max="26" width="9.13"/>
  </cols>
  <sheetData>
    <row r="1" ht="27.75" customHeight="1">
      <c r="A1" s="1"/>
      <c r="B1" s="1"/>
      <c r="C1" s="1"/>
      <c r="D1" s="2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4"/>
      <c r="B2" s="5" t="s">
        <v>0</v>
      </c>
      <c r="C2" s="6"/>
      <c r="D2" s="6"/>
      <c r="E2" s="6"/>
      <c r="F2" s="6"/>
      <c r="G2" s="7"/>
      <c r="H2" s="8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4"/>
      <c r="B3" s="9" t="s">
        <v>1</v>
      </c>
      <c r="C3" s="10" t="s">
        <v>2</v>
      </c>
      <c r="D3" s="11"/>
      <c r="E3" s="11"/>
      <c r="F3" s="11"/>
      <c r="G3" s="12"/>
      <c r="H3" s="1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4"/>
      <c r="B4" s="14" t="s">
        <v>3</v>
      </c>
      <c r="C4" s="15" t="s">
        <v>4</v>
      </c>
      <c r="D4" s="16"/>
      <c r="E4" s="16"/>
      <c r="F4" s="16"/>
      <c r="G4" s="17"/>
      <c r="H4" s="1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7.75" customHeight="1">
      <c r="A5" s="1"/>
      <c r="B5" s="18"/>
      <c r="C5" s="1"/>
      <c r="D5" s="19"/>
      <c r="E5" s="19"/>
      <c r="F5" s="19"/>
      <c r="G5" s="19"/>
      <c r="H5" s="1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1"/>
      <c r="B6" s="1"/>
      <c r="C6" s="1"/>
      <c r="D6" s="2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20" t="s">
        <v>5</v>
      </c>
      <c r="B7" s="21" t="s">
        <v>6</v>
      </c>
      <c r="C7" s="22" t="s">
        <v>7</v>
      </c>
      <c r="D7" s="22" t="s">
        <v>8</v>
      </c>
      <c r="E7" s="21" t="s">
        <v>9</v>
      </c>
      <c r="F7" s="21" t="s">
        <v>10</v>
      </c>
      <c r="G7" s="21" t="s">
        <v>11</v>
      </c>
      <c r="H7" s="19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27.75" customHeight="1">
      <c r="A8" s="1"/>
      <c r="B8" s="23" t="s">
        <v>12</v>
      </c>
      <c r="C8" s="24" t="s">
        <v>13</v>
      </c>
      <c r="D8" s="24" t="s">
        <v>14</v>
      </c>
      <c r="E8" s="25">
        <v>3.0</v>
      </c>
      <c r="F8" s="26">
        <v>1.0</v>
      </c>
      <c r="G8" s="25">
        <v>1.0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75" customHeight="1">
      <c r="A9" s="1"/>
      <c r="B9" s="27" t="s">
        <v>15</v>
      </c>
      <c r="C9" s="28" t="s">
        <v>13</v>
      </c>
      <c r="D9" s="28" t="s">
        <v>16</v>
      </c>
      <c r="E9" s="29">
        <v>3.0</v>
      </c>
      <c r="F9" s="30">
        <v>1.0</v>
      </c>
      <c r="G9" s="29">
        <v>1.0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75" customHeight="1">
      <c r="A10" s="1"/>
      <c r="B10" s="27" t="s">
        <v>17</v>
      </c>
      <c r="C10" s="28" t="s">
        <v>13</v>
      </c>
      <c r="D10" s="28" t="s">
        <v>18</v>
      </c>
      <c r="E10" s="29">
        <v>3.0</v>
      </c>
      <c r="F10" s="30">
        <v>1.0</v>
      </c>
      <c r="G10" s="29">
        <v>1.0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75" customHeight="1">
      <c r="A11" s="1"/>
      <c r="B11" s="27"/>
      <c r="C11" s="28"/>
      <c r="D11" s="28"/>
      <c r="E11" s="29"/>
      <c r="F11" s="30"/>
      <c r="G11" s="29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75" customHeight="1">
      <c r="A12" s="1"/>
      <c r="B12" s="31"/>
      <c r="C12" s="32" t="s">
        <v>19</v>
      </c>
      <c r="D12" s="6"/>
      <c r="E12" s="6"/>
      <c r="F12" s="7"/>
      <c r="G12" s="33">
        <f>SUM(G8:G11)</f>
        <v>3</v>
      </c>
      <c r="H12" s="2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75" customHeight="1">
      <c r="A13" s="1"/>
      <c r="B13" s="20"/>
      <c r="C13" s="34"/>
      <c r="D13" s="3"/>
      <c r="E13" s="3"/>
      <c r="F13" s="3"/>
      <c r="G13" s="35"/>
      <c r="H13" s="2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75" customHeight="1">
      <c r="A14" s="1"/>
      <c r="B14" s="20"/>
      <c r="C14" s="36"/>
      <c r="D14" s="36"/>
      <c r="E14" s="37"/>
      <c r="F14" s="20"/>
      <c r="G14" s="20"/>
      <c r="H14" s="20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75" customHeight="1">
      <c r="A15" s="20" t="s">
        <v>20</v>
      </c>
      <c r="B15" s="21" t="s">
        <v>21</v>
      </c>
      <c r="C15" s="21" t="s">
        <v>22</v>
      </c>
      <c r="D15" s="22" t="s">
        <v>23</v>
      </c>
      <c r="E15" s="22" t="s">
        <v>24</v>
      </c>
      <c r="F15" s="21" t="s">
        <v>9</v>
      </c>
      <c r="G15" s="19"/>
      <c r="H15" s="1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38"/>
      <c r="U15" s="1"/>
      <c r="V15" s="1"/>
      <c r="W15" s="1"/>
      <c r="X15" s="1"/>
      <c r="Y15" s="1"/>
      <c r="Z15" s="1"/>
    </row>
    <row r="16" ht="27.75" customHeight="1">
      <c r="A16" s="1"/>
      <c r="B16" s="39" t="s">
        <v>25</v>
      </c>
      <c r="C16" s="40"/>
      <c r="D16" s="41">
        <v>4.0</v>
      </c>
      <c r="E16" s="42" t="s">
        <v>26</v>
      </c>
      <c r="F16" s="42">
        <v>10.0</v>
      </c>
      <c r="G16" s="1"/>
      <c r="H16" s="1"/>
      <c r="I16" s="1"/>
      <c r="J16" s="1"/>
      <c r="K16" s="38"/>
      <c r="L16" s="1"/>
      <c r="M16" s="1"/>
      <c r="N16" s="1"/>
      <c r="O16" s="1"/>
      <c r="P16" s="1"/>
      <c r="Q16" s="1"/>
      <c r="R16" s="1"/>
      <c r="S16" s="1"/>
      <c r="T16" s="38"/>
      <c r="U16" s="1"/>
      <c r="V16" s="1"/>
      <c r="W16" s="1"/>
      <c r="X16" s="1"/>
      <c r="Y16" s="1"/>
      <c r="Z16" s="1"/>
    </row>
    <row r="17" ht="27.75" customHeight="1">
      <c r="A17" s="1"/>
      <c r="B17" s="39" t="s">
        <v>27</v>
      </c>
      <c r="C17" s="40"/>
      <c r="D17" s="41">
        <v>4.0</v>
      </c>
      <c r="E17" s="42" t="s">
        <v>26</v>
      </c>
      <c r="F17" s="42">
        <v>10.0</v>
      </c>
      <c r="G17" s="1"/>
      <c r="H17" s="1"/>
      <c r="I17" s="1"/>
      <c r="J17" s="1"/>
      <c r="K17" s="38"/>
      <c r="L17" s="1"/>
      <c r="M17" s="1"/>
      <c r="N17" s="1"/>
      <c r="O17" s="1"/>
      <c r="P17" s="1"/>
      <c r="Q17" s="1"/>
      <c r="R17" s="1"/>
      <c r="S17" s="1"/>
      <c r="T17" s="38"/>
      <c r="U17" s="1"/>
      <c r="V17" s="1"/>
      <c r="W17" s="1"/>
      <c r="X17" s="1"/>
      <c r="Y17" s="1"/>
      <c r="Z17" s="1"/>
    </row>
    <row r="18" ht="27.75" customHeight="1">
      <c r="A18" s="1"/>
      <c r="B18" s="39"/>
      <c r="C18" s="40"/>
      <c r="D18" s="41"/>
      <c r="E18" s="42"/>
      <c r="F18" s="42"/>
      <c r="G18" s="1"/>
      <c r="H18" s="1"/>
      <c r="I18" s="1"/>
      <c r="J18" s="1"/>
      <c r="K18" s="38"/>
      <c r="L18" s="1"/>
      <c r="M18" s="1"/>
      <c r="N18" s="1"/>
      <c r="O18" s="1"/>
      <c r="P18" s="1"/>
      <c r="Q18" s="1"/>
      <c r="R18" s="1"/>
      <c r="S18" s="1"/>
      <c r="T18" s="38"/>
      <c r="U18" s="1"/>
      <c r="V18" s="1"/>
      <c r="W18" s="1"/>
      <c r="X18" s="1"/>
      <c r="Y18" s="1"/>
      <c r="Z18" s="1"/>
    </row>
    <row r="19" ht="27.75" customHeight="1">
      <c r="A19" s="1"/>
      <c r="B19" s="39"/>
      <c r="C19" s="40"/>
      <c r="D19" s="41"/>
      <c r="E19" s="42"/>
      <c r="F19" s="42"/>
      <c r="G19" s="1"/>
      <c r="H19" s="1"/>
      <c r="I19" s="1"/>
      <c r="J19" s="1"/>
      <c r="K19" s="38"/>
      <c r="L19" s="1"/>
      <c r="M19" s="1"/>
      <c r="N19" s="1"/>
      <c r="O19" s="1"/>
      <c r="P19" s="1"/>
      <c r="Q19" s="1"/>
      <c r="R19" s="1"/>
      <c r="S19" s="1"/>
      <c r="T19" s="38"/>
      <c r="U19" s="1"/>
      <c r="V19" s="1"/>
      <c r="W19" s="1"/>
      <c r="X19" s="1"/>
      <c r="Y19" s="1"/>
      <c r="Z19" s="1"/>
    </row>
    <row r="20" ht="27.75" customHeight="1">
      <c r="A20" s="1"/>
      <c r="B20" s="39"/>
      <c r="C20" s="40"/>
      <c r="D20" s="41"/>
      <c r="E20" s="42"/>
      <c r="F20" s="42"/>
      <c r="G20" s="1"/>
      <c r="H20" s="1"/>
      <c r="I20" s="1"/>
      <c r="J20" s="1"/>
      <c r="K20" s="38"/>
      <c r="L20" s="1"/>
      <c r="M20" s="1"/>
      <c r="N20" s="1"/>
      <c r="O20" s="1"/>
      <c r="P20" s="1"/>
      <c r="Q20" s="1"/>
      <c r="R20" s="1"/>
      <c r="S20" s="1"/>
      <c r="T20" s="38"/>
      <c r="U20" s="1"/>
      <c r="V20" s="1"/>
      <c r="W20" s="1"/>
      <c r="X20" s="1"/>
      <c r="Y20" s="1"/>
      <c r="Z20" s="1"/>
    </row>
    <row r="21" ht="27.75" customHeight="1">
      <c r="A21" s="1"/>
      <c r="B21" s="39"/>
      <c r="C21" s="40"/>
      <c r="D21" s="41"/>
      <c r="E21" s="42"/>
      <c r="F21" s="42"/>
      <c r="G21" s="1"/>
      <c r="H21" s="1"/>
      <c r="I21" s="1"/>
      <c r="J21" s="1"/>
      <c r="K21" s="38"/>
      <c r="L21" s="1"/>
      <c r="M21" s="1"/>
      <c r="N21" s="1"/>
      <c r="O21" s="1"/>
      <c r="P21" s="1"/>
      <c r="Q21" s="1"/>
      <c r="R21" s="1"/>
      <c r="S21" s="1"/>
      <c r="T21" s="38"/>
      <c r="U21" s="1"/>
      <c r="V21" s="1"/>
      <c r="W21" s="1"/>
      <c r="X21" s="1"/>
      <c r="Y21" s="1"/>
      <c r="Z21" s="1"/>
    </row>
    <row r="22" ht="27.75" customHeight="1">
      <c r="A22" s="1"/>
      <c r="B22" s="39"/>
      <c r="C22" s="40"/>
      <c r="D22" s="41"/>
      <c r="E22" s="42"/>
      <c r="F22" s="42"/>
      <c r="G22" s="1"/>
      <c r="H22" s="1"/>
      <c r="I22" s="1"/>
      <c r="J22" s="1"/>
      <c r="K22" s="38"/>
      <c r="L22" s="1"/>
      <c r="M22" s="1"/>
      <c r="N22" s="1"/>
      <c r="O22" s="1"/>
      <c r="P22" s="1"/>
      <c r="Q22" s="1"/>
      <c r="R22" s="1"/>
      <c r="S22" s="1"/>
      <c r="T22" s="38"/>
      <c r="U22" s="1"/>
      <c r="V22" s="1"/>
      <c r="W22" s="1"/>
      <c r="X22" s="1"/>
      <c r="Y22" s="1"/>
      <c r="Z22" s="1"/>
    </row>
    <row r="23" ht="27.75" customHeight="1">
      <c r="A23" s="1"/>
      <c r="B23" s="39"/>
      <c r="C23" s="40"/>
      <c r="D23" s="41"/>
      <c r="E23" s="42"/>
      <c r="F23" s="42"/>
      <c r="G23" s="1"/>
      <c r="H23" s="1"/>
      <c r="I23" s="1"/>
      <c r="J23" s="1"/>
      <c r="K23" s="38"/>
      <c r="L23" s="1"/>
      <c r="M23" s="1"/>
      <c r="N23" s="1"/>
      <c r="O23" s="1"/>
      <c r="P23" s="1"/>
      <c r="Q23" s="1"/>
      <c r="R23" s="1"/>
      <c r="S23" s="1"/>
      <c r="T23" s="38"/>
      <c r="U23" s="1"/>
      <c r="V23" s="1"/>
      <c r="W23" s="1"/>
      <c r="X23" s="1"/>
      <c r="Y23" s="1"/>
      <c r="Z23" s="1"/>
    </row>
    <row r="24" ht="27.75" customHeight="1">
      <c r="A24" s="1"/>
      <c r="B24" s="39"/>
      <c r="C24" s="40"/>
      <c r="D24" s="41"/>
      <c r="E24" s="42"/>
      <c r="F24" s="42"/>
      <c r="G24" s="1"/>
      <c r="H24" s="1"/>
      <c r="I24" s="1"/>
      <c r="J24" s="1"/>
      <c r="K24" s="38"/>
      <c r="L24" s="1"/>
      <c r="M24" s="1"/>
      <c r="N24" s="1"/>
      <c r="O24" s="1"/>
      <c r="P24" s="1"/>
      <c r="Q24" s="1"/>
      <c r="R24" s="1"/>
      <c r="S24" s="1"/>
      <c r="T24" s="38"/>
      <c r="U24" s="1"/>
      <c r="V24" s="1"/>
      <c r="W24" s="1"/>
      <c r="X24" s="1"/>
      <c r="Y24" s="1"/>
      <c r="Z24" s="1"/>
    </row>
    <row r="25" ht="27.75" customHeight="1">
      <c r="A25" s="1"/>
      <c r="B25" s="27"/>
      <c r="C25" s="43"/>
      <c r="D25" s="30"/>
      <c r="E25" s="29"/>
      <c r="F25" s="29"/>
      <c r="G25" s="1"/>
      <c r="H25" s="1"/>
      <c r="I25" s="1"/>
      <c r="J25" s="1"/>
      <c r="K25" s="38"/>
      <c r="L25" s="1"/>
      <c r="M25" s="1"/>
      <c r="N25" s="1"/>
      <c r="O25" s="1"/>
      <c r="P25" s="1"/>
      <c r="Q25" s="1"/>
      <c r="R25" s="1"/>
      <c r="S25" s="1"/>
      <c r="T25" s="38"/>
      <c r="U25" s="1"/>
      <c r="V25" s="1"/>
      <c r="W25" s="1"/>
      <c r="X25" s="1"/>
      <c r="Y25" s="1"/>
      <c r="Z25" s="1"/>
    </row>
    <row r="26" ht="27.75" customHeight="1">
      <c r="A26" s="1"/>
      <c r="B26" s="27"/>
      <c r="C26" s="43"/>
      <c r="D26" s="30"/>
      <c r="E26" s="29"/>
      <c r="F26" s="29"/>
      <c r="G26" s="1"/>
      <c r="H26" s="1"/>
      <c r="I26" s="1"/>
      <c r="J26" s="1"/>
      <c r="K26" s="38"/>
      <c r="L26" s="1"/>
      <c r="M26" s="1"/>
      <c r="N26" s="1"/>
      <c r="O26" s="1"/>
      <c r="P26" s="1"/>
      <c r="Q26" s="1"/>
      <c r="R26" s="1"/>
      <c r="S26" s="1"/>
      <c r="T26" s="38"/>
      <c r="U26" s="1"/>
      <c r="V26" s="1"/>
      <c r="W26" s="1"/>
      <c r="X26" s="1"/>
      <c r="Y26" s="1"/>
      <c r="Z26" s="1"/>
    </row>
    <row r="27" ht="27.75" customHeight="1">
      <c r="A27" s="1"/>
      <c r="B27" s="27"/>
      <c r="C27" s="43"/>
      <c r="D27" s="30"/>
      <c r="E27" s="29"/>
      <c r="F27" s="29"/>
      <c r="G27" s="1"/>
      <c r="H27" s="1"/>
      <c r="I27" s="1"/>
      <c r="J27" s="1"/>
      <c r="K27" s="38"/>
      <c r="L27" s="1"/>
      <c r="M27" s="1"/>
      <c r="N27" s="1"/>
      <c r="O27" s="1"/>
      <c r="P27" s="1"/>
      <c r="Q27" s="1"/>
      <c r="R27" s="1"/>
      <c r="S27" s="1"/>
      <c r="T27" s="38"/>
      <c r="U27" s="1"/>
      <c r="V27" s="1"/>
      <c r="W27" s="1"/>
      <c r="X27" s="1"/>
      <c r="Y27" s="1"/>
      <c r="Z27" s="1"/>
    </row>
    <row r="28" ht="27.75" customHeight="1">
      <c r="A28" s="1"/>
      <c r="B28" s="44"/>
      <c r="C28" s="45" t="s">
        <v>28</v>
      </c>
      <c r="D28" s="46"/>
      <c r="E28" s="47"/>
      <c r="F28" s="48">
        <f>SUM(F16:F27)</f>
        <v>20</v>
      </c>
      <c r="G28" s="1"/>
      <c r="H28" s="20"/>
      <c r="I28" s="1"/>
      <c r="J28" s="1"/>
      <c r="K28" s="38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75" customHeight="1">
      <c r="A29" s="1"/>
      <c r="B29" s="1"/>
      <c r="C29" s="1"/>
      <c r="D29" s="2"/>
      <c r="E29" s="3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75" customHeight="1">
      <c r="A30" s="1"/>
      <c r="B30" s="1"/>
      <c r="C30" s="1"/>
      <c r="D30" s="2"/>
      <c r="E30" s="3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75" customHeight="1">
      <c r="A31" s="20" t="s">
        <v>29</v>
      </c>
      <c r="B31" s="49"/>
      <c r="C31" s="32" t="s">
        <v>148</v>
      </c>
      <c r="D31" s="6"/>
      <c r="E31" s="7"/>
      <c r="F31" s="33">
        <f>G12+F28</f>
        <v>23</v>
      </c>
      <c r="G31" s="1"/>
      <c r="H31" s="20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75" customHeight="1">
      <c r="A32" s="1"/>
      <c r="B32" s="1"/>
      <c r="C32" s="1"/>
      <c r="D32" s="2"/>
      <c r="E32" s="3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75" customHeight="1">
      <c r="A33" s="1"/>
      <c r="B33" s="3"/>
      <c r="C33" s="1"/>
      <c r="D33" s="2"/>
      <c r="E33" s="3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75" customHeight="1">
      <c r="A34" s="20" t="s">
        <v>31</v>
      </c>
      <c r="B34" s="22" t="s">
        <v>32</v>
      </c>
      <c r="C34" s="22" t="s">
        <v>33</v>
      </c>
      <c r="D34" s="21" t="s">
        <v>34</v>
      </c>
      <c r="E34" s="21" t="s">
        <v>9</v>
      </c>
      <c r="F34" s="21" t="s">
        <v>35</v>
      </c>
      <c r="G34" s="21" t="s">
        <v>36</v>
      </c>
      <c r="H34" s="1" t="s">
        <v>37</v>
      </c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27.75" customHeight="1">
      <c r="A35" s="1"/>
      <c r="B35" s="50" t="s">
        <v>38</v>
      </c>
      <c r="C35" s="50" t="s">
        <v>39</v>
      </c>
      <c r="D35" s="23" t="s">
        <v>40</v>
      </c>
      <c r="E35" s="51">
        <v>2.0</v>
      </c>
      <c r="F35" s="26">
        <v>0.0</v>
      </c>
      <c r="G35" s="51">
        <v>0.0</v>
      </c>
      <c r="H35" s="52" t="s">
        <v>41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50" t="s">
        <v>42</v>
      </c>
      <c r="C36" s="50" t="s">
        <v>39</v>
      </c>
      <c r="D36" s="27" t="s">
        <v>43</v>
      </c>
      <c r="E36" s="53">
        <v>2.0</v>
      </c>
      <c r="F36" s="30">
        <v>5.0</v>
      </c>
      <c r="G36" s="53">
        <v>10.0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75" customHeight="1">
      <c r="A37" s="1"/>
      <c r="B37" s="50" t="s">
        <v>44</v>
      </c>
      <c r="C37" s="50" t="s">
        <v>39</v>
      </c>
      <c r="D37" s="54"/>
      <c r="E37" s="53">
        <v>1.0</v>
      </c>
      <c r="F37" s="30">
        <v>4.0</v>
      </c>
      <c r="G37" s="53">
        <v>4.0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50" t="s">
        <v>45</v>
      </c>
      <c r="C38" s="50" t="s">
        <v>39</v>
      </c>
      <c r="D38" s="27" t="s">
        <v>46</v>
      </c>
      <c r="E38" s="53">
        <v>1.0</v>
      </c>
      <c r="F38" s="30">
        <v>4.0</v>
      </c>
      <c r="G38" s="53">
        <v>4.0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75" customHeight="1">
      <c r="A39" s="1"/>
      <c r="B39" s="50" t="s">
        <v>47</v>
      </c>
      <c r="C39" s="50" t="s">
        <v>39</v>
      </c>
      <c r="D39" s="27" t="s">
        <v>48</v>
      </c>
      <c r="E39" s="53">
        <v>1.0</v>
      </c>
      <c r="F39" s="30">
        <v>0.0</v>
      </c>
      <c r="G39" s="53">
        <v>0.0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75" customHeight="1">
      <c r="A40" s="1"/>
      <c r="B40" s="50" t="s">
        <v>49</v>
      </c>
      <c r="C40" s="50" t="s">
        <v>39</v>
      </c>
      <c r="D40" s="27" t="s">
        <v>50</v>
      </c>
      <c r="E40" s="53">
        <v>0.5</v>
      </c>
      <c r="F40" s="30">
        <v>5.0</v>
      </c>
      <c r="G40" s="53">
        <v>2.5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75" customHeight="1">
      <c r="A41" s="1"/>
      <c r="B41" s="50" t="s">
        <v>51</v>
      </c>
      <c r="C41" s="50" t="s">
        <v>39</v>
      </c>
      <c r="D41" s="27" t="s">
        <v>52</v>
      </c>
      <c r="E41" s="53">
        <v>0.5</v>
      </c>
      <c r="F41" s="30">
        <v>5.0</v>
      </c>
      <c r="G41" s="53">
        <v>2.5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75" customHeight="1">
      <c r="A42" s="1"/>
      <c r="B42" s="50" t="s">
        <v>53</v>
      </c>
      <c r="C42" s="50" t="s">
        <v>39</v>
      </c>
      <c r="D42" s="27" t="s">
        <v>54</v>
      </c>
      <c r="E42" s="53">
        <v>2.0</v>
      </c>
      <c r="F42" s="30">
        <v>3.0</v>
      </c>
      <c r="G42" s="53">
        <v>6.0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75" customHeight="1">
      <c r="A43" s="1"/>
      <c r="B43" s="50" t="s">
        <v>55</v>
      </c>
      <c r="C43" s="50" t="s">
        <v>39</v>
      </c>
      <c r="D43" s="27" t="s">
        <v>56</v>
      </c>
      <c r="E43" s="53">
        <v>1.0</v>
      </c>
      <c r="F43" s="30">
        <v>1.0</v>
      </c>
      <c r="G43" s="53">
        <v>1.0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75" customHeight="1">
      <c r="A44" s="1"/>
      <c r="B44" s="50" t="s">
        <v>57</v>
      </c>
      <c r="C44" s="50" t="s">
        <v>39</v>
      </c>
      <c r="D44" s="27" t="s">
        <v>58</v>
      </c>
      <c r="E44" s="53">
        <v>1.0</v>
      </c>
      <c r="F44" s="30">
        <v>5.0</v>
      </c>
      <c r="G44" s="53">
        <v>5.0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50" t="s">
        <v>59</v>
      </c>
      <c r="C45" s="50" t="s">
        <v>39</v>
      </c>
      <c r="D45" s="27" t="s">
        <v>60</v>
      </c>
      <c r="E45" s="53">
        <v>1.0</v>
      </c>
      <c r="F45" s="30">
        <v>5.0</v>
      </c>
      <c r="G45" s="53">
        <v>5.0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50" t="s">
        <v>61</v>
      </c>
      <c r="C46" s="50" t="s">
        <v>39</v>
      </c>
      <c r="D46" s="27" t="s">
        <v>62</v>
      </c>
      <c r="E46" s="53">
        <v>1.0</v>
      </c>
      <c r="F46" s="30">
        <v>4.0</v>
      </c>
      <c r="G46" s="53">
        <v>4.0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50" t="s">
        <v>63</v>
      </c>
      <c r="C47" s="50" t="s">
        <v>39</v>
      </c>
      <c r="D47" s="27" t="s">
        <v>64</v>
      </c>
      <c r="E47" s="53">
        <v>1.0</v>
      </c>
      <c r="F47" s="30">
        <v>3.0</v>
      </c>
      <c r="G47" s="53">
        <v>3.0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75" customHeight="1">
      <c r="A48" s="1"/>
      <c r="B48" s="32" t="s">
        <v>149</v>
      </c>
      <c r="C48" s="6"/>
      <c r="D48" s="6"/>
      <c r="E48" s="6"/>
      <c r="F48" s="7"/>
      <c r="G48" s="55">
        <f>SUM(G35:G47)</f>
        <v>47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75" customHeight="1">
      <c r="A49" s="1"/>
      <c r="B49" s="32" t="s">
        <v>150</v>
      </c>
      <c r="C49" s="6"/>
      <c r="D49" s="6"/>
      <c r="E49" s="6"/>
      <c r="F49" s="7"/>
      <c r="G49" s="48">
        <f>0.6+(0.01*G48)</f>
        <v>1.07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75" customHeight="1">
      <c r="A50" s="1"/>
      <c r="B50" s="34"/>
      <c r="C50" s="3"/>
      <c r="D50" s="3"/>
      <c r="E50" s="3"/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75" customHeight="1">
      <c r="A51" s="1"/>
      <c r="B51" s="56"/>
      <c r="C51" s="56"/>
      <c r="D51" s="57"/>
      <c r="E51" s="56"/>
      <c r="F51" s="56"/>
      <c r="G51" s="56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20" t="s">
        <v>67</v>
      </c>
      <c r="B52" s="22" t="s">
        <v>68</v>
      </c>
      <c r="C52" s="22" t="s">
        <v>69</v>
      </c>
      <c r="D52" s="21" t="s">
        <v>70</v>
      </c>
      <c r="E52" s="21" t="s">
        <v>9</v>
      </c>
      <c r="F52" s="21" t="s">
        <v>35</v>
      </c>
      <c r="G52" s="21" t="s">
        <v>36</v>
      </c>
      <c r="H52" s="1" t="s">
        <v>71</v>
      </c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5.75" customHeight="1">
      <c r="A53" s="1"/>
      <c r="B53" s="58" t="s">
        <v>72</v>
      </c>
      <c r="C53" s="50" t="s">
        <v>73</v>
      </c>
      <c r="D53" s="23" t="s">
        <v>74</v>
      </c>
      <c r="E53" s="51" t="s">
        <v>75</v>
      </c>
      <c r="F53" s="26">
        <v>3.0</v>
      </c>
      <c r="G53" s="51" t="s">
        <v>76</v>
      </c>
      <c r="H53" s="52" t="s">
        <v>41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58" t="s">
        <v>77</v>
      </c>
      <c r="C54" s="50" t="s">
        <v>73</v>
      </c>
      <c r="D54" s="27" t="s">
        <v>78</v>
      </c>
      <c r="E54" s="53" t="s">
        <v>79</v>
      </c>
      <c r="F54" s="30">
        <v>4.0</v>
      </c>
      <c r="G54" s="53">
        <v>2.0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58" t="s">
        <v>80</v>
      </c>
      <c r="C55" s="50" t="s">
        <v>73</v>
      </c>
      <c r="D55" s="27" t="s">
        <v>81</v>
      </c>
      <c r="E55" s="53">
        <v>1.0</v>
      </c>
      <c r="F55" s="30">
        <v>4.0</v>
      </c>
      <c r="G55" s="53">
        <v>4.0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58" t="s">
        <v>82</v>
      </c>
      <c r="C56" s="50" t="s">
        <v>73</v>
      </c>
      <c r="D56" s="27" t="s">
        <v>83</v>
      </c>
      <c r="E56" s="53" t="s">
        <v>79</v>
      </c>
      <c r="F56" s="30">
        <v>3.0</v>
      </c>
      <c r="G56" s="53" t="s">
        <v>75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75" customHeight="1">
      <c r="A57" s="1"/>
      <c r="B57" s="58" t="s">
        <v>84</v>
      </c>
      <c r="C57" s="50" t="s">
        <v>85</v>
      </c>
      <c r="D57" s="27" t="s">
        <v>86</v>
      </c>
      <c r="E57" s="53">
        <v>1.0</v>
      </c>
      <c r="F57" s="30">
        <v>4.0</v>
      </c>
      <c r="G57" s="53">
        <v>4.0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58" t="s">
        <v>87</v>
      </c>
      <c r="C58" s="50" t="s">
        <v>88</v>
      </c>
      <c r="D58" s="27" t="s">
        <v>89</v>
      </c>
      <c r="E58" s="53">
        <v>2.0</v>
      </c>
      <c r="F58" s="30">
        <v>2.0</v>
      </c>
      <c r="G58" s="53">
        <v>4.0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58" t="s">
        <v>90</v>
      </c>
      <c r="C59" s="50" t="s">
        <v>91</v>
      </c>
      <c r="D59" s="27" t="s">
        <v>92</v>
      </c>
      <c r="E59" s="53">
        <v>-1.0</v>
      </c>
      <c r="F59" s="30">
        <v>4.0</v>
      </c>
      <c r="G59" s="53">
        <v>-4.0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58" t="s">
        <v>93</v>
      </c>
      <c r="C60" s="50" t="s">
        <v>94</v>
      </c>
      <c r="D60" s="27" t="s">
        <v>95</v>
      </c>
      <c r="E60" s="53">
        <v>-1.0</v>
      </c>
      <c r="F60" s="30">
        <v>4.0</v>
      </c>
      <c r="G60" s="53">
        <v>-4.0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75" customHeight="1">
      <c r="A61" s="1"/>
      <c r="B61" s="32" t="s">
        <v>96</v>
      </c>
      <c r="C61" s="6"/>
      <c r="D61" s="6"/>
      <c r="E61" s="6"/>
      <c r="F61" s="7"/>
      <c r="G61" s="21">
        <f>SUM(G53:G60)</f>
        <v>6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75" customHeight="1">
      <c r="A62" s="1"/>
      <c r="B62" s="32" t="s">
        <v>151</v>
      </c>
      <c r="C62" s="6"/>
      <c r="D62" s="6"/>
      <c r="E62" s="6"/>
      <c r="F62" s="7"/>
      <c r="G62" s="21">
        <f>1.4 + (-0.03*G61)</f>
        <v>1.22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75" customHeight="1">
      <c r="A63" s="1"/>
      <c r="B63" s="32"/>
      <c r="C63" s="59"/>
      <c r="D63" s="60"/>
      <c r="E63" s="59"/>
      <c r="F63" s="61" t="s">
        <v>98</v>
      </c>
      <c r="G63" s="21">
        <f>COUNTIF($F$53:$F$58,"&lt;3")+COUNTIF($F$59:$F$60,"&gt;3")</f>
        <v>3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75" customHeight="1">
      <c r="A64" s="1"/>
      <c r="B64" s="34"/>
      <c r="C64" s="3"/>
      <c r="D64" s="3"/>
      <c r="E64" s="3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75" customHeight="1">
      <c r="A65" s="1"/>
      <c r="B65" s="1"/>
      <c r="C65" s="1"/>
      <c r="D65" s="2"/>
      <c r="E65" s="3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75" customHeight="1">
      <c r="A66" s="20" t="s">
        <v>99</v>
      </c>
      <c r="B66" s="62" t="s">
        <v>152</v>
      </c>
      <c r="C66" s="6"/>
      <c r="D66" s="6"/>
      <c r="E66" s="6"/>
      <c r="F66" s="7"/>
      <c r="G66" s="63">
        <f>F31*G49*G62</f>
        <v>30.0242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75" customHeight="1">
      <c r="A67" s="1"/>
      <c r="B67" s="1"/>
      <c r="C67" s="1"/>
      <c r="D67" s="2"/>
      <c r="E67" s="3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1"/>
      <c r="B68" s="1"/>
      <c r="C68" s="1"/>
      <c r="D68" s="2"/>
      <c r="E68" s="3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64" t="s">
        <v>101</v>
      </c>
      <c r="B69" s="22" t="s">
        <v>102</v>
      </c>
      <c r="C69" s="22" t="s">
        <v>103</v>
      </c>
      <c r="D69" s="22" t="s">
        <v>104</v>
      </c>
      <c r="E69" s="3"/>
      <c r="F69" s="1"/>
      <c r="G69" s="22" t="s">
        <v>105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A70" s="1"/>
      <c r="B70" s="65">
        <v>20.0</v>
      </c>
      <c r="C70" s="65">
        <f>IF($G$63&gt;=5,36,IF(AND(G$63&gt;2,$G$63&lt;=4),28, IF(AND($G$63&gt;=0,$G$63&lt;=2),20,"error")))</f>
        <v>28</v>
      </c>
      <c r="D70" s="66">
        <f>IF($G$63&gt;=5,$G$70*(36/20),IF(AND($G$63&gt;2,$G$63&lt;=4),$G$70*(28/20), IF(AND($G$63&gt;=0,$G$63&lt;=2),$G$70,"error")))</f>
        <v>2.324</v>
      </c>
      <c r="E70" s="3"/>
      <c r="F70" s="1"/>
      <c r="G70" s="98">
        <v>1.66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A71" s="1"/>
      <c r="B71" s="68" t="s">
        <v>106</v>
      </c>
      <c r="C71" s="6"/>
      <c r="D71" s="7"/>
      <c r="E71" s="3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75" customHeight="1">
      <c r="A72" s="69" t="s">
        <v>107</v>
      </c>
      <c r="B72" s="65">
        <f t="shared" ref="B72:D72" si="1">$G$66*B70</f>
        <v>600.484</v>
      </c>
      <c r="C72" s="65">
        <f t="shared" si="1"/>
        <v>840.6776</v>
      </c>
      <c r="D72" s="65">
        <f t="shared" si="1"/>
        <v>69.7762408</v>
      </c>
      <c r="E72" s="3"/>
      <c r="F72" s="1"/>
      <c r="G72" s="22" t="s">
        <v>108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75" customHeight="1">
      <c r="A73" s="69" t="s">
        <v>109</v>
      </c>
      <c r="B73" s="70">
        <f>B72/(22*G73)</f>
        <v>13.64736364</v>
      </c>
      <c r="C73" s="70">
        <f>C72/(22*G73)</f>
        <v>19.10630909</v>
      </c>
      <c r="D73" s="71">
        <f>D72/(22*G73)</f>
        <v>1.585823655</v>
      </c>
      <c r="E73" s="3"/>
      <c r="F73" s="1"/>
      <c r="G73" s="67">
        <v>2.0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75" customHeight="1">
      <c r="A74" s="1"/>
      <c r="B74" s="1"/>
      <c r="C74" s="1"/>
      <c r="D74" s="2"/>
      <c r="E74" s="3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75" customHeight="1">
      <c r="A75" s="1"/>
      <c r="B75" s="1"/>
      <c r="C75" s="1"/>
      <c r="D75" s="2"/>
      <c r="E75" s="3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75" customHeight="1">
      <c r="A76" s="20" t="s">
        <v>110</v>
      </c>
      <c r="B76" s="72" t="s">
        <v>111</v>
      </c>
      <c r="C76" s="73"/>
      <c r="D76" s="60"/>
      <c r="E76" s="59"/>
      <c r="F76" s="74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1"/>
      <c r="B77" s="49" t="s">
        <v>112</v>
      </c>
      <c r="C77" s="21" t="s">
        <v>113</v>
      </c>
      <c r="D77" s="63" t="s">
        <v>114</v>
      </c>
      <c r="E77" s="63" t="s">
        <v>115</v>
      </c>
      <c r="F77" s="63" t="s">
        <v>116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1"/>
      <c r="B78" s="75" t="s">
        <v>117</v>
      </c>
      <c r="C78" s="76">
        <v>0.4</v>
      </c>
      <c r="D78" s="70">
        <f t="shared" ref="D78:F78" si="2">+B72</f>
        <v>600.484</v>
      </c>
      <c r="E78" s="70">
        <f t="shared" si="2"/>
        <v>840.6776</v>
      </c>
      <c r="F78" s="70">
        <f t="shared" si="2"/>
        <v>69.7762408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75" customHeight="1">
      <c r="A79" s="1"/>
      <c r="B79" s="75" t="s">
        <v>118</v>
      </c>
      <c r="C79" s="76">
        <f>1-C78</f>
        <v>0.6</v>
      </c>
      <c r="D79" s="65">
        <f t="shared" ref="D79:F79" si="3">+D78*1.5</f>
        <v>900.726</v>
      </c>
      <c r="E79" s="65">
        <f t="shared" si="3"/>
        <v>1261.0164</v>
      </c>
      <c r="F79" s="65">
        <f t="shared" si="3"/>
        <v>104.6643612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75" customHeight="1">
      <c r="A80" s="1"/>
      <c r="B80" s="77"/>
      <c r="C80" s="76">
        <f>SUM(C78:C79)</f>
        <v>1</v>
      </c>
      <c r="D80" s="70">
        <f t="shared" ref="D80:F80" si="4">+D78+D79</f>
        <v>1501.21</v>
      </c>
      <c r="E80" s="70">
        <f t="shared" si="4"/>
        <v>2101.694</v>
      </c>
      <c r="F80" s="70">
        <f t="shared" si="4"/>
        <v>174.440602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75" customHeight="1">
      <c r="A81" s="1"/>
      <c r="B81" s="1"/>
      <c r="C81" s="1"/>
      <c r="D81" s="1"/>
      <c r="E81" s="3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75" customHeight="1">
      <c r="A82" s="20" t="s">
        <v>119</v>
      </c>
      <c r="B82" s="72" t="s">
        <v>120</v>
      </c>
      <c r="C82" s="73"/>
      <c r="D82" s="60"/>
      <c r="E82" s="59"/>
      <c r="F82" s="74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75" customHeight="1">
      <c r="A83" s="1"/>
      <c r="B83" s="49" t="s">
        <v>112</v>
      </c>
      <c r="C83" s="21" t="s">
        <v>113</v>
      </c>
      <c r="D83" s="63" t="s">
        <v>121</v>
      </c>
      <c r="E83" s="63" t="s">
        <v>122</v>
      </c>
      <c r="F83" s="63" t="s">
        <v>123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75" customHeight="1">
      <c r="A84" s="1"/>
      <c r="B84" s="75" t="s">
        <v>117</v>
      </c>
      <c r="C84" s="76">
        <v>0.4</v>
      </c>
      <c r="D84" s="70">
        <f t="shared" ref="D84:F84" si="5">$C84/$C$84*B$73</f>
        <v>13.64736364</v>
      </c>
      <c r="E84" s="70">
        <f t="shared" si="5"/>
        <v>19.10630909</v>
      </c>
      <c r="F84" s="70">
        <f t="shared" si="5"/>
        <v>1.585823655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75" customHeight="1">
      <c r="A85" s="1"/>
      <c r="B85" s="75" t="s">
        <v>118</v>
      </c>
      <c r="C85" s="76">
        <f>1-C84</f>
        <v>0.6</v>
      </c>
      <c r="D85" s="65">
        <f t="shared" ref="D85:F85" si="6">$C85/$C$84*B$73</f>
        <v>20.47104545</v>
      </c>
      <c r="E85" s="65">
        <f t="shared" si="6"/>
        <v>28.65946364</v>
      </c>
      <c r="F85" s="65">
        <f t="shared" si="6"/>
        <v>2.378735482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75" customHeight="1">
      <c r="A86" s="1"/>
      <c r="B86" s="77"/>
      <c r="C86" s="76">
        <f>SUM(C84:C85)</f>
        <v>1</v>
      </c>
      <c r="D86" s="70">
        <f t="shared" ref="D86:F86" si="7">$C86/$C$84*B$73</f>
        <v>34.11840909</v>
      </c>
      <c r="E86" s="70">
        <f t="shared" si="7"/>
        <v>47.76577273</v>
      </c>
      <c r="F86" s="70">
        <f t="shared" si="7"/>
        <v>3.964559136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75" customHeight="1">
      <c r="A87" s="1"/>
      <c r="B87" s="1"/>
      <c r="C87" s="1"/>
      <c r="D87" s="2"/>
      <c r="E87" s="3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75" customHeight="1">
      <c r="A88" s="20" t="s">
        <v>124</v>
      </c>
      <c r="B88" s="78">
        <v>5.0</v>
      </c>
      <c r="C88" s="1"/>
      <c r="D88" s="2"/>
      <c r="E88" s="3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75" customHeight="1">
      <c r="A89" s="1"/>
      <c r="B89" s="1"/>
      <c r="C89" s="1"/>
      <c r="D89" s="2"/>
      <c r="E89" s="3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75" customHeight="1">
      <c r="A90" s="20" t="s">
        <v>125</v>
      </c>
      <c r="B90" s="63" t="s">
        <v>126</v>
      </c>
      <c r="C90" s="63" t="s">
        <v>127</v>
      </c>
      <c r="D90" s="63" t="s">
        <v>128</v>
      </c>
      <c r="E90" s="3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75" customHeight="1">
      <c r="A91" s="79"/>
      <c r="B91" s="80">
        <f>$D$86/$B$88</f>
        <v>6.823681818</v>
      </c>
      <c r="C91" s="80">
        <f>$E$86/$B$88</f>
        <v>9.553154545</v>
      </c>
      <c r="D91" s="80">
        <f>$F$86/$B$88</f>
        <v>0.7929118273</v>
      </c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</row>
    <row r="92" ht="15.75" customHeight="1">
      <c r="A92" s="79"/>
      <c r="B92" s="79"/>
      <c r="C92" s="79"/>
      <c r="D92" s="79"/>
      <c r="E92" s="81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</row>
    <row r="93" ht="15.75" customHeight="1">
      <c r="A93" s="79"/>
      <c r="B93" s="79"/>
      <c r="C93" s="79"/>
      <c r="D93" s="79"/>
      <c r="E93" s="81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</row>
    <row r="94" ht="15.75" customHeight="1">
      <c r="A94" s="79"/>
      <c r="B94" s="79"/>
      <c r="C94" s="79"/>
      <c r="D94" s="79"/>
      <c r="E94" s="81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</row>
    <row r="95" ht="15.75" customHeight="1">
      <c r="A95" s="79"/>
      <c r="B95" s="79"/>
      <c r="C95" s="79"/>
      <c r="D95" s="79"/>
      <c r="E95" s="81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 ht="15.75" customHeight="1">
      <c r="A96" s="79"/>
      <c r="B96" s="79"/>
      <c r="C96" s="79"/>
      <c r="D96" s="79"/>
      <c r="E96" s="81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</row>
    <row r="97" ht="15.75" customHeight="1">
      <c r="A97" s="79"/>
      <c r="B97" s="79"/>
      <c r="C97" s="79"/>
      <c r="D97" s="79"/>
      <c r="E97" s="81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 ht="15.75" customHeight="1">
      <c r="A98" s="79"/>
      <c r="B98" s="79"/>
      <c r="C98" s="79"/>
      <c r="D98" s="79"/>
      <c r="E98" s="81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 ht="15.75" customHeight="1">
      <c r="A99" s="79"/>
      <c r="B99" s="79"/>
      <c r="C99" s="79"/>
      <c r="D99" s="79"/>
      <c r="E99" s="81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 ht="15.75" customHeight="1">
      <c r="A100" s="79"/>
      <c r="B100" s="79"/>
      <c r="C100" s="79"/>
      <c r="D100" s="79"/>
      <c r="E100" s="81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  <row r="101" ht="15.75" customHeight="1">
      <c r="A101" s="79"/>
      <c r="B101" s="79"/>
      <c r="C101" s="79"/>
      <c r="D101" s="79"/>
      <c r="E101" s="81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 ht="15.75" customHeight="1">
      <c r="A102" s="79"/>
      <c r="B102" s="79"/>
      <c r="C102" s="79"/>
      <c r="D102" s="79"/>
      <c r="E102" s="81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 ht="15.75" customHeight="1">
      <c r="A103" s="79"/>
      <c r="B103" s="79"/>
      <c r="C103" s="79"/>
      <c r="D103" s="79"/>
      <c r="E103" s="81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 ht="15.75" customHeight="1">
      <c r="A104" s="79"/>
      <c r="B104" s="79"/>
      <c r="C104" s="79"/>
      <c r="D104" s="79"/>
      <c r="E104" s="81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</row>
    <row r="105" ht="15.75" customHeight="1">
      <c r="A105" s="79"/>
      <c r="B105" s="79"/>
      <c r="C105" s="79"/>
      <c r="D105" s="79"/>
      <c r="E105" s="81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</row>
    <row r="106" ht="15.75" customHeight="1">
      <c r="A106" s="79"/>
      <c r="B106" s="79"/>
      <c r="C106" s="79"/>
      <c r="D106" s="79"/>
      <c r="E106" s="81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</row>
    <row r="107" ht="15.75" customHeight="1">
      <c r="A107" s="79"/>
      <c r="B107" s="79"/>
      <c r="C107" s="79"/>
      <c r="D107" s="79"/>
      <c r="E107" s="81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</row>
    <row r="108" ht="15.75" customHeight="1">
      <c r="A108" s="1"/>
      <c r="B108" s="1"/>
      <c r="C108" s="1"/>
      <c r="D108" s="2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2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2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2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2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2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2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2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2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2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2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2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2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2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2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2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2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2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2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2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2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2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2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2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2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2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2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2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2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2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2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2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2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2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2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2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2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2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2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2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2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2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2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2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2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2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2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2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2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2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2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2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2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2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2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2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2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2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2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2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2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2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2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2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2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2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2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2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2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2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2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2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2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2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2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2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2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2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2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2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2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2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2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2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2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2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2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2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2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2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2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2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2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2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2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2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2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2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2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2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2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2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2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2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2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2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2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2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2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2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2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2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2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2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2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2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2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2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2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2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2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2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2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2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2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2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2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2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2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2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2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2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2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2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2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2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2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2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2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2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2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2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2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2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2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2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2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2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2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2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2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2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2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2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2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2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2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2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2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2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2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2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2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2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2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2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2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2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2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2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2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2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2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2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2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2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2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2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2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2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2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2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2"/>
      <c r="E290" s="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2"/>
      <c r="E291" s="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2"/>
      <c r="E292" s="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2"/>
      <c r="E293" s="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2"/>
      <c r="E294" s="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2"/>
      <c r="E295" s="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2"/>
      <c r="E296" s="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2"/>
      <c r="E297" s="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2"/>
      <c r="E298" s="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2"/>
      <c r="E299" s="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2"/>
      <c r="E300" s="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2"/>
      <c r="E301" s="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2"/>
      <c r="E302" s="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2"/>
      <c r="E303" s="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2"/>
      <c r="E304" s="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2"/>
      <c r="E305" s="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2"/>
      <c r="E306" s="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2"/>
      <c r="E307" s="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2"/>
      <c r="E308" s="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2"/>
      <c r="E309" s="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2"/>
      <c r="E310" s="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2"/>
      <c r="E311" s="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2"/>
      <c r="E312" s="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2"/>
      <c r="E313" s="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2"/>
      <c r="E314" s="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2"/>
      <c r="E315" s="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2"/>
      <c r="E316" s="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2"/>
      <c r="E317" s="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2"/>
      <c r="E318" s="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2"/>
      <c r="E319" s="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2"/>
      <c r="E320" s="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2"/>
      <c r="E321" s="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2"/>
      <c r="E322" s="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2"/>
      <c r="E323" s="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2"/>
      <c r="E324" s="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2"/>
      <c r="E325" s="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2"/>
      <c r="E326" s="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2"/>
      <c r="E327" s="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2"/>
      <c r="E328" s="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2"/>
      <c r="E329" s="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2"/>
      <c r="E330" s="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2"/>
      <c r="E331" s="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2"/>
      <c r="E332" s="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2"/>
      <c r="E333" s="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2"/>
      <c r="E334" s="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2"/>
      <c r="E335" s="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2"/>
      <c r="E336" s="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2"/>
      <c r="E337" s="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2"/>
      <c r="E338" s="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2"/>
      <c r="E339" s="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2"/>
      <c r="E340" s="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2"/>
      <c r="E341" s="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2"/>
      <c r="E342" s="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2"/>
      <c r="E343" s="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2"/>
      <c r="E344" s="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2"/>
      <c r="E345" s="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2"/>
      <c r="E346" s="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2"/>
      <c r="E347" s="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2"/>
      <c r="E348" s="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2"/>
      <c r="E349" s="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2"/>
      <c r="E350" s="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2"/>
      <c r="E351" s="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2"/>
      <c r="E352" s="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2"/>
      <c r="E353" s="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2"/>
      <c r="E354" s="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2"/>
      <c r="E355" s="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2"/>
      <c r="E356" s="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2"/>
      <c r="E357" s="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2"/>
      <c r="E358" s="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2"/>
      <c r="E359" s="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2"/>
      <c r="E360" s="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2"/>
      <c r="E361" s="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2"/>
      <c r="E362" s="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2"/>
      <c r="E363" s="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2"/>
      <c r="E364" s="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2"/>
      <c r="E365" s="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2"/>
      <c r="E366" s="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2"/>
      <c r="E367" s="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2"/>
      <c r="E368" s="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2"/>
      <c r="E369" s="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2"/>
      <c r="E370" s="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2"/>
      <c r="E371" s="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2"/>
      <c r="E372" s="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2"/>
      <c r="E373" s="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2"/>
      <c r="E374" s="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2"/>
      <c r="E375" s="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2"/>
      <c r="E376" s="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2"/>
      <c r="E377" s="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2"/>
      <c r="E378" s="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2"/>
      <c r="E379" s="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2"/>
      <c r="E380" s="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2"/>
      <c r="E381" s="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2"/>
      <c r="E382" s="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2"/>
      <c r="E383" s="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2"/>
      <c r="E384" s="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2"/>
      <c r="E385" s="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2"/>
      <c r="E386" s="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2"/>
      <c r="E387" s="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2"/>
      <c r="E388" s="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2"/>
      <c r="E389" s="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2"/>
      <c r="E390" s="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2"/>
      <c r="E391" s="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2"/>
      <c r="E392" s="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2"/>
      <c r="E393" s="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2"/>
      <c r="E394" s="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2"/>
      <c r="E395" s="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2"/>
      <c r="E396" s="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2"/>
      <c r="E397" s="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2"/>
      <c r="E398" s="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2"/>
      <c r="E399" s="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2"/>
      <c r="E400" s="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2"/>
      <c r="E401" s="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2"/>
      <c r="E402" s="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2"/>
      <c r="E403" s="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2"/>
      <c r="E404" s="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2"/>
      <c r="E405" s="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2"/>
      <c r="E406" s="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2"/>
      <c r="E407" s="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2"/>
      <c r="E408" s="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2"/>
      <c r="E409" s="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2"/>
      <c r="E410" s="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2"/>
      <c r="E411" s="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2"/>
      <c r="E412" s="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2"/>
      <c r="E413" s="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2"/>
      <c r="E414" s="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2"/>
      <c r="E415" s="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2"/>
      <c r="E416" s="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2"/>
      <c r="E417" s="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2"/>
      <c r="E418" s="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2"/>
      <c r="E419" s="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2"/>
      <c r="E420" s="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2"/>
      <c r="E421" s="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2"/>
      <c r="E422" s="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2"/>
      <c r="E423" s="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2"/>
      <c r="E424" s="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2"/>
      <c r="E425" s="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2"/>
      <c r="E426" s="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2"/>
      <c r="E427" s="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2"/>
      <c r="E428" s="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2"/>
      <c r="E429" s="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2"/>
      <c r="E430" s="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2"/>
      <c r="E431" s="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2"/>
      <c r="E432" s="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2"/>
      <c r="E433" s="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2"/>
      <c r="E434" s="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2"/>
      <c r="E435" s="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2"/>
      <c r="E436" s="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2"/>
      <c r="E437" s="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2"/>
      <c r="E438" s="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2"/>
      <c r="E439" s="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2"/>
      <c r="E440" s="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2"/>
      <c r="E441" s="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2"/>
      <c r="E442" s="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2"/>
      <c r="E443" s="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2"/>
      <c r="E444" s="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2"/>
      <c r="E445" s="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2"/>
      <c r="E446" s="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2"/>
      <c r="E447" s="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2"/>
      <c r="E448" s="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2"/>
      <c r="E449" s="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2"/>
      <c r="E450" s="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2"/>
      <c r="E451" s="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2"/>
      <c r="E452" s="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2"/>
      <c r="E453" s="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2"/>
      <c r="E454" s="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2"/>
      <c r="E455" s="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2"/>
      <c r="E456" s="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2"/>
      <c r="E457" s="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2"/>
      <c r="E458" s="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2"/>
      <c r="E459" s="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2"/>
      <c r="E460" s="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2"/>
      <c r="E461" s="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2"/>
      <c r="E462" s="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2"/>
      <c r="E463" s="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2"/>
      <c r="E464" s="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2"/>
      <c r="E465" s="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2"/>
      <c r="E466" s="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2"/>
      <c r="E467" s="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2"/>
      <c r="E468" s="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2"/>
      <c r="E469" s="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2"/>
      <c r="E470" s="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2"/>
      <c r="E471" s="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2"/>
      <c r="E472" s="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2"/>
      <c r="E473" s="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2"/>
      <c r="E474" s="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2"/>
      <c r="E475" s="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2"/>
      <c r="E476" s="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2"/>
      <c r="E477" s="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2"/>
      <c r="E478" s="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2"/>
      <c r="E479" s="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2"/>
      <c r="E480" s="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2"/>
      <c r="E481" s="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2"/>
      <c r="E482" s="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2"/>
      <c r="E483" s="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2"/>
      <c r="E484" s="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2"/>
      <c r="E485" s="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2"/>
      <c r="E486" s="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2"/>
      <c r="E487" s="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2"/>
      <c r="E488" s="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2"/>
      <c r="E489" s="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2"/>
      <c r="E490" s="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2"/>
      <c r="E491" s="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2"/>
      <c r="E492" s="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2"/>
      <c r="E493" s="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2"/>
      <c r="E494" s="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2"/>
      <c r="E495" s="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2"/>
      <c r="E496" s="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2"/>
      <c r="E497" s="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2"/>
      <c r="E498" s="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2"/>
      <c r="E499" s="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2"/>
      <c r="E500" s="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2"/>
      <c r="E501" s="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2"/>
      <c r="E502" s="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2"/>
      <c r="E503" s="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2"/>
      <c r="E504" s="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2"/>
      <c r="E505" s="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2"/>
      <c r="E506" s="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2"/>
      <c r="E507" s="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2"/>
      <c r="E508" s="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2"/>
      <c r="E509" s="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2"/>
      <c r="E510" s="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2"/>
      <c r="E511" s="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2"/>
      <c r="E512" s="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2"/>
      <c r="E513" s="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2"/>
      <c r="E514" s="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2"/>
      <c r="E515" s="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2"/>
      <c r="E516" s="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2"/>
      <c r="E517" s="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2"/>
      <c r="E518" s="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2"/>
      <c r="E519" s="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2"/>
      <c r="E520" s="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2"/>
      <c r="E521" s="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2"/>
      <c r="E522" s="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2"/>
      <c r="E523" s="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2"/>
      <c r="E524" s="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2"/>
      <c r="E525" s="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2"/>
      <c r="E526" s="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2"/>
      <c r="E527" s="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2"/>
      <c r="E528" s="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2"/>
      <c r="E529" s="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2"/>
      <c r="E530" s="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2"/>
      <c r="E531" s="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2"/>
      <c r="E532" s="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2"/>
      <c r="E533" s="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2"/>
      <c r="E534" s="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2"/>
      <c r="E535" s="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2"/>
      <c r="E536" s="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2"/>
      <c r="E537" s="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2"/>
      <c r="E538" s="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2"/>
      <c r="E539" s="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2"/>
      <c r="E540" s="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2"/>
      <c r="E541" s="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2"/>
      <c r="E542" s="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2"/>
      <c r="E543" s="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2"/>
      <c r="E544" s="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2"/>
      <c r="E545" s="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2"/>
      <c r="E546" s="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2"/>
      <c r="E547" s="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2"/>
      <c r="E548" s="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2"/>
      <c r="E549" s="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2"/>
      <c r="E550" s="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2"/>
      <c r="E551" s="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2"/>
      <c r="E552" s="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2"/>
      <c r="E553" s="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2"/>
      <c r="E554" s="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2"/>
      <c r="E555" s="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2"/>
      <c r="E556" s="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2"/>
      <c r="E557" s="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2"/>
      <c r="E558" s="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2"/>
      <c r="E559" s="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2"/>
      <c r="E560" s="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2"/>
      <c r="E561" s="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2"/>
      <c r="E562" s="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2"/>
      <c r="E563" s="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2"/>
      <c r="E564" s="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2"/>
      <c r="E565" s="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2"/>
      <c r="E566" s="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2"/>
      <c r="E567" s="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2"/>
      <c r="E568" s="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2"/>
      <c r="E569" s="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2"/>
      <c r="E570" s="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2"/>
      <c r="E571" s="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2"/>
      <c r="E572" s="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2"/>
      <c r="E573" s="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2"/>
      <c r="E574" s="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2"/>
      <c r="E575" s="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2"/>
      <c r="E576" s="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2"/>
      <c r="E577" s="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2"/>
      <c r="E578" s="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2"/>
      <c r="E579" s="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2"/>
      <c r="E580" s="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2"/>
      <c r="E581" s="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2"/>
      <c r="E582" s="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2"/>
      <c r="E583" s="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2"/>
      <c r="E584" s="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2"/>
      <c r="E585" s="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2"/>
      <c r="E586" s="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2"/>
      <c r="E587" s="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2"/>
      <c r="E588" s="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2"/>
      <c r="E589" s="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2"/>
      <c r="E590" s="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2"/>
      <c r="E591" s="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2"/>
      <c r="E592" s="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2"/>
      <c r="E593" s="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2"/>
      <c r="E594" s="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2"/>
      <c r="E595" s="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2"/>
      <c r="E596" s="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2"/>
      <c r="E597" s="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2"/>
      <c r="E598" s="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2"/>
      <c r="E599" s="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2"/>
      <c r="E600" s="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2"/>
      <c r="E601" s="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2"/>
      <c r="E602" s="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2"/>
      <c r="E603" s="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2"/>
      <c r="E604" s="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2"/>
      <c r="E605" s="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2"/>
      <c r="E606" s="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2"/>
      <c r="E607" s="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2"/>
      <c r="E608" s="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2"/>
      <c r="E609" s="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2"/>
      <c r="E610" s="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2"/>
      <c r="E611" s="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2"/>
      <c r="E612" s="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2"/>
      <c r="E613" s="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2"/>
      <c r="E614" s="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2"/>
      <c r="E615" s="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2"/>
      <c r="E616" s="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2"/>
      <c r="E617" s="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2"/>
      <c r="E618" s="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2"/>
      <c r="E619" s="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2"/>
      <c r="E620" s="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2"/>
      <c r="E621" s="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2"/>
      <c r="E622" s="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2"/>
      <c r="E623" s="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2"/>
      <c r="E624" s="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2"/>
      <c r="E625" s="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2"/>
      <c r="E626" s="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2"/>
      <c r="E627" s="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2"/>
      <c r="E628" s="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2"/>
      <c r="E629" s="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2"/>
      <c r="E630" s="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2"/>
      <c r="E631" s="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2"/>
      <c r="E632" s="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2"/>
      <c r="E633" s="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2"/>
      <c r="E634" s="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2"/>
      <c r="E635" s="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2"/>
      <c r="E636" s="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2"/>
      <c r="E637" s="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2"/>
      <c r="E638" s="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2"/>
      <c r="E639" s="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2"/>
      <c r="E640" s="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2"/>
      <c r="E641" s="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2"/>
      <c r="E642" s="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2"/>
      <c r="E643" s="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2"/>
      <c r="E644" s="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2"/>
      <c r="E645" s="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2"/>
      <c r="E646" s="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2"/>
      <c r="E647" s="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2"/>
      <c r="E648" s="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2"/>
      <c r="E649" s="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2"/>
      <c r="E650" s="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2"/>
      <c r="E651" s="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2"/>
      <c r="E652" s="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2"/>
      <c r="E653" s="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2"/>
      <c r="E654" s="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2"/>
      <c r="E655" s="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2"/>
      <c r="E656" s="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2"/>
      <c r="E657" s="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2"/>
      <c r="E658" s="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2"/>
      <c r="E659" s="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2"/>
      <c r="E660" s="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2"/>
      <c r="E661" s="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2"/>
      <c r="E662" s="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2"/>
      <c r="E663" s="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2"/>
      <c r="E664" s="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2"/>
      <c r="E665" s="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2"/>
      <c r="E666" s="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2"/>
      <c r="E667" s="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2"/>
      <c r="E668" s="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2"/>
      <c r="E669" s="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2"/>
      <c r="E670" s="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2"/>
      <c r="E671" s="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2"/>
      <c r="E672" s="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2"/>
      <c r="E673" s="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2"/>
      <c r="E674" s="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2"/>
      <c r="E675" s="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2"/>
      <c r="E676" s="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2"/>
      <c r="E677" s="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2"/>
      <c r="E678" s="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2"/>
      <c r="E679" s="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2"/>
      <c r="E680" s="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2"/>
      <c r="E681" s="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2"/>
      <c r="E682" s="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2"/>
      <c r="E683" s="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2"/>
      <c r="E684" s="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2"/>
      <c r="E685" s="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2"/>
      <c r="E686" s="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2"/>
      <c r="E687" s="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2"/>
      <c r="E688" s="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2"/>
      <c r="E689" s="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2"/>
      <c r="E690" s="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2"/>
      <c r="E691" s="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2"/>
      <c r="E692" s="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2"/>
      <c r="E693" s="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2"/>
      <c r="E694" s="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2"/>
      <c r="E695" s="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2"/>
      <c r="E696" s="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2"/>
      <c r="E697" s="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2"/>
      <c r="E698" s="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2"/>
      <c r="E699" s="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2"/>
      <c r="E700" s="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2"/>
      <c r="E701" s="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2"/>
      <c r="E702" s="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2"/>
      <c r="E703" s="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2"/>
      <c r="E704" s="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2"/>
      <c r="E705" s="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2"/>
      <c r="E706" s="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2"/>
      <c r="E707" s="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2"/>
      <c r="E708" s="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2"/>
      <c r="E709" s="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2"/>
      <c r="E710" s="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2"/>
      <c r="E711" s="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2"/>
      <c r="E712" s="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2"/>
      <c r="E713" s="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2"/>
      <c r="E714" s="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2"/>
      <c r="E715" s="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2"/>
      <c r="E716" s="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2"/>
      <c r="E717" s="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2"/>
      <c r="E718" s="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2"/>
      <c r="E719" s="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2"/>
      <c r="E720" s="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2"/>
      <c r="E721" s="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2"/>
      <c r="E722" s="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2"/>
      <c r="E723" s="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2"/>
      <c r="E724" s="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2"/>
      <c r="E725" s="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2"/>
      <c r="E726" s="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2"/>
      <c r="E727" s="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2"/>
      <c r="E728" s="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2"/>
      <c r="E729" s="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2"/>
      <c r="E730" s="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2"/>
      <c r="E731" s="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2"/>
      <c r="E732" s="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2"/>
      <c r="E733" s="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2"/>
      <c r="E734" s="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2"/>
      <c r="E735" s="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2"/>
      <c r="E736" s="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2"/>
      <c r="E737" s="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2"/>
      <c r="E738" s="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2"/>
      <c r="E739" s="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2"/>
      <c r="E740" s="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2"/>
      <c r="E741" s="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2"/>
      <c r="E742" s="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2"/>
      <c r="E743" s="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2"/>
      <c r="E744" s="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2"/>
      <c r="E745" s="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2"/>
      <c r="E746" s="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2"/>
      <c r="E747" s="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2"/>
      <c r="E748" s="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2"/>
      <c r="E749" s="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2"/>
      <c r="E750" s="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2"/>
      <c r="E751" s="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2"/>
      <c r="E752" s="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2"/>
      <c r="E753" s="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2"/>
      <c r="E754" s="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2"/>
      <c r="E755" s="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2"/>
      <c r="E756" s="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2"/>
      <c r="E757" s="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2"/>
      <c r="E758" s="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2"/>
      <c r="E759" s="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2"/>
      <c r="E760" s="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2"/>
      <c r="E761" s="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2"/>
      <c r="E762" s="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2"/>
      <c r="E763" s="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2"/>
      <c r="E764" s="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2"/>
      <c r="E765" s="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2"/>
      <c r="E766" s="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2"/>
      <c r="E767" s="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2"/>
      <c r="E768" s="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2"/>
      <c r="E769" s="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2"/>
      <c r="E770" s="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2"/>
      <c r="E771" s="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2"/>
      <c r="E772" s="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2"/>
      <c r="E773" s="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2"/>
      <c r="E774" s="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2"/>
      <c r="E775" s="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2"/>
      <c r="E776" s="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2"/>
      <c r="E777" s="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2"/>
      <c r="E778" s="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2"/>
      <c r="E779" s="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2"/>
      <c r="E780" s="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2"/>
      <c r="E781" s="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2"/>
      <c r="E782" s="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2"/>
      <c r="E783" s="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2"/>
      <c r="E784" s="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2"/>
      <c r="E785" s="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2"/>
      <c r="E786" s="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2"/>
      <c r="E787" s="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2"/>
      <c r="E788" s="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2"/>
      <c r="E789" s="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2"/>
      <c r="E790" s="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2"/>
      <c r="E791" s="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2"/>
      <c r="E792" s="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2"/>
      <c r="E793" s="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2"/>
      <c r="E794" s="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2"/>
      <c r="E795" s="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2"/>
      <c r="E796" s="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2"/>
      <c r="E797" s="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2"/>
      <c r="E798" s="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2"/>
      <c r="E799" s="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2"/>
      <c r="E800" s="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2"/>
      <c r="E801" s="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2"/>
      <c r="E802" s="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2"/>
      <c r="E803" s="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2"/>
      <c r="E804" s="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2"/>
      <c r="E805" s="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2"/>
      <c r="E806" s="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2"/>
      <c r="E807" s="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2"/>
      <c r="E808" s="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2"/>
      <c r="E809" s="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2"/>
      <c r="E810" s="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2"/>
      <c r="E811" s="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2"/>
      <c r="E812" s="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2"/>
      <c r="E813" s="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2"/>
      <c r="E814" s="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2"/>
      <c r="E815" s="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2"/>
      <c r="E816" s="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2"/>
      <c r="E817" s="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2"/>
      <c r="E818" s="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2"/>
      <c r="E819" s="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2"/>
      <c r="E820" s="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2"/>
      <c r="E821" s="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2"/>
      <c r="E822" s="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2"/>
      <c r="E823" s="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2"/>
      <c r="E824" s="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2"/>
      <c r="E825" s="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2"/>
      <c r="E826" s="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2"/>
      <c r="E827" s="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2"/>
      <c r="E828" s="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2"/>
      <c r="E829" s="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2"/>
      <c r="E830" s="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2"/>
      <c r="E831" s="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2"/>
      <c r="E832" s="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2"/>
      <c r="E833" s="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2"/>
      <c r="E834" s="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2"/>
      <c r="E835" s="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2"/>
      <c r="E836" s="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2"/>
      <c r="E837" s="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2"/>
      <c r="E838" s="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2"/>
      <c r="E839" s="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2"/>
      <c r="E840" s="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2"/>
      <c r="E841" s="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2"/>
      <c r="E842" s="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2"/>
      <c r="E843" s="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2"/>
      <c r="E844" s="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2"/>
      <c r="E845" s="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2"/>
      <c r="E846" s="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2"/>
      <c r="E847" s="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2"/>
      <c r="E848" s="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2"/>
      <c r="E849" s="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2"/>
      <c r="E850" s="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2"/>
      <c r="E851" s="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2"/>
      <c r="E852" s="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2"/>
      <c r="E853" s="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2"/>
      <c r="E854" s="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2"/>
      <c r="E855" s="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2"/>
      <c r="E856" s="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2"/>
      <c r="E857" s="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2"/>
      <c r="E858" s="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2"/>
      <c r="E859" s="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2"/>
      <c r="E860" s="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2"/>
      <c r="E861" s="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2"/>
      <c r="E862" s="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2"/>
      <c r="E863" s="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2"/>
      <c r="E864" s="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2"/>
      <c r="E865" s="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2"/>
      <c r="E866" s="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2"/>
      <c r="E867" s="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2"/>
      <c r="E868" s="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2"/>
      <c r="E869" s="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2"/>
      <c r="E870" s="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2"/>
      <c r="E871" s="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2"/>
      <c r="E872" s="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2"/>
      <c r="E873" s="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2"/>
      <c r="E874" s="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2"/>
      <c r="E875" s="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2"/>
      <c r="E876" s="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2"/>
      <c r="E877" s="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2"/>
      <c r="E878" s="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2"/>
      <c r="E879" s="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2"/>
      <c r="E880" s="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2"/>
      <c r="E881" s="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2"/>
      <c r="E882" s="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2"/>
      <c r="E883" s="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2"/>
      <c r="E884" s="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2"/>
      <c r="E885" s="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2"/>
      <c r="E886" s="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2"/>
      <c r="E887" s="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2"/>
      <c r="E888" s="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2"/>
      <c r="E889" s="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2"/>
      <c r="E890" s="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2"/>
      <c r="E891" s="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2"/>
      <c r="E892" s="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2"/>
      <c r="E893" s="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2"/>
      <c r="E894" s="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2"/>
      <c r="E895" s="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2"/>
      <c r="E896" s="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2"/>
      <c r="E897" s="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2"/>
      <c r="E898" s="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2"/>
      <c r="E899" s="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2"/>
      <c r="E900" s="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2"/>
      <c r="E901" s="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2"/>
      <c r="E902" s="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2"/>
      <c r="E903" s="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2"/>
      <c r="E904" s="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2"/>
      <c r="E905" s="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2"/>
      <c r="E906" s="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2"/>
      <c r="E907" s="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2"/>
      <c r="E908" s="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2"/>
      <c r="E909" s="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2"/>
      <c r="E910" s="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2"/>
      <c r="E911" s="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2"/>
      <c r="E912" s="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2"/>
      <c r="E913" s="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2"/>
      <c r="E914" s="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2"/>
      <c r="E915" s="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2"/>
      <c r="E916" s="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2"/>
      <c r="E917" s="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2"/>
      <c r="E918" s="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2"/>
      <c r="E919" s="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2"/>
      <c r="E920" s="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2"/>
      <c r="E921" s="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2"/>
      <c r="E922" s="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2"/>
      <c r="E923" s="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2"/>
      <c r="E924" s="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2"/>
      <c r="E925" s="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2"/>
      <c r="E926" s="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2"/>
      <c r="E927" s="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2"/>
      <c r="E928" s="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2"/>
      <c r="E929" s="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2"/>
      <c r="E930" s="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2"/>
      <c r="E931" s="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2"/>
      <c r="E932" s="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2"/>
      <c r="E933" s="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2"/>
      <c r="E934" s="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2"/>
      <c r="E935" s="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2"/>
      <c r="E936" s="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2"/>
      <c r="E937" s="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2"/>
      <c r="E938" s="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2"/>
      <c r="E939" s="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2"/>
      <c r="E940" s="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2"/>
      <c r="E941" s="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2"/>
      <c r="E942" s="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2"/>
      <c r="E943" s="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2"/>
      <c r="E944" s="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2"/>
      <c r="E945" s="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2"/>
      <c r="E946" s="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2"/>
      <c r="E947" s="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2"/>
      <c r="E948" s="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2"/>
      <c r="E949" s="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2"/>
      <c r="E950" s="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2"/>
      <c r="E951" s="3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2"/>
      <c r="E952" s="3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2"/>
      <c r="E953" s="3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2"/>
      <c r="E954" s="3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2"/>
      <c r="E955" s="3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2"/>
      <c r="E956" s="3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2"/>
      <c r="E957" s="3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2"/>
      <c r="E958" s="3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2"/>
      <c r="E959" s="3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2"/>
      <c r="E960" s="3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2"/>
      <c r="E961" s="3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2"/>
      <c r="E962" s="3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2"/>
      <c r="E963" s="3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2"/>
      <c r="E964" s="3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2"/>
      <c r="E965" s="3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2"/>
      <c r="E966" s="3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2"/>
      <c r="E967" s="3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2"/>
      <c r="E968" s="3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2"/>
      <c r="E969" s="3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2"/>
      <c r="E970" s="3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2"/>
      <c r="E971" s="3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2"/>
      <c r="E972" s="3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2"/>
      <c r="E973" s="3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2"/>
      <c r="E974" s="3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2"/>
      <c r="E975" s="3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2"/>
      <c r="E976" s="3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2"/>
      <c r="E977" s="3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2"/>
      <c r="E978" s="3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2"/>
      <c r="E979" s="3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2"/>
      <c r="E980" s="3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2"/>
      <c r="E981" s="3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2"/>
      <c r="E982" s="3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2"/>
      <c r="E983" s="3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2"/>
      <c r="E984" s="3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2"/>
      <c r="E985" s="3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2"/>
      <c r="E986" s="3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2"/>
      <c r="E987" s="3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2"/>
      <c r="E988" s="3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2"/>
      <c r="E989" s="3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2"/>
      <c r="E990" s="3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2"/>
      <c r="E991" s="3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2"/>
      <c r="E992" s="3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2"/>
      <c r="E993" s="3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2"/>
      <c r="E994" s="3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2"/>
      <c r="E995" s="3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2"/>
      <c r="E996" s="3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2"/>
      <c r="E997" s="3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2"/>
      <c r="E998" s="3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2"/>
      <c r="E999" s="3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2"/>
      <c r="E1000" s="3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2"/>
      <c r="E1001" s="3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1"/>
      <c r="D1002" s="2"/>
      <c r="E1002" s="3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"/>
      <c r="C1003" s="1"/>
      <c r="D1003" s="2"/>
      <c r="E1003" s="3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1"/>
      <c r="C1004" s="1"/>
      <c r="D1004" s="2"/>
      <c r="E1004" s="3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1"/>
      <c r="B1005" s="1"/>
      <c r="C1005" s="1"/>
      <c r="D1005" s="2"/>
      <c r="E1005" s="3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5.75" customHeight="1">
      <c r="A1006" s="1"/>
      <c r="B1006" s="1"/>
      <c r="C1006" s="1"/>
      <c r="D1006" s="2"/>
      <c r="E1006" s="3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5.75" customHeight="1">
      <c r="A1007" s="1"/>
      <c r="B1007" s="1"/>
      <c r="C1007" s="1"/>
      <c r="D1007" s="2"/>
      <c r="E1007" s="3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5.75" customHeight="1">
      <c r="A1008" s="1"/>
      <c r="B1008" s="1"/>
      <c r="C1008" s="1"/>
      <c r="D1008" s="2"/>
      <c r="E1008" s="3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5.75" customHeight="1">
      <c r="A1009" s="1"/>
      <c r="B1009" s="1"/>
      <c r="C1009" s="1"/>
      <c r="D1009" s="2"/>
      <c r="E1009" s="3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5.75" customHeight="1">
      <c r="A1010" s="1"/>
      <c r="B1010" s="1"/>
      <c r="C1010" s="1"/>
      <c r="D1010" s="2"/>
      <c r="E1010" s="3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5.75" customHeight="1">
      <c r="A1011" s="1"/>
      <c r="B1011" s="1"/>
      <c r="C1011" s="1"/>
      <c r="D1011" s="2"/>
      <c r="E1011" s="3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5.75" customHeight="1">
      <c r="A1012" s="1"/>
      <c r="B1012" s="1"/>
      <c r="C1012" s="1"/>
      <c r="D1012" s="2"/>
      <c r="E1012" s="3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</sheetData>
  <mergeCells count="10">
    <mergeCell ref="B62:F62"/>
    <mergeCell ref="B66:F66"/>
    <mergeCell ref="B71:D71"/>
    <mergeCell ref="B2:G2"/>
    <mergeCell ref="C12:F12"/>
    <mergeCell ref="C28:E28"/>
    <mergeCell ref="C31:E31"/>
    <mergeCell ref="B48:F48"/>
    <mergeCell ref="B49:F49"/>
    <mergeCell ref="B61:F61"/>
  </mergeCells>
  <dataValidations>
    <dataValidation type="decimal" allowBlank="1" showInputMessage="1" showErrorMessage="1" prompt="Entre 1 y 9 personas." sqref="B88">
      <formula1>1.0</formula1>
      <formula2>9.0</formula2>
    </dataValidation>
  </dataValidations>
  <hyperlinks>
    <hyperlink r:id="rId1" location="v=onepage&amp;q=e7%20part-time%20members&amp;f=false" ref="H35"/>
    <hyperlink r:id="rId2" location="v=onepage&amp;q=e7%20part-time%20members&amp;f=false" ref="H53"/>
  </hyperlinks>
  <printOptions/>
  <pageMargins bottom="1.0" footer="0.0" header="0.0" left="0.75" right="0.75" top="1.0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75"/>
    <col customWidth="1" min="2" max="2" width="32.13"/>
    <col customWidth="1" min="3" max="3" width="33.38"/>
    <col customWidth="1" min="4" max="4" width="38.63"/>
    <col customWidth="1" min="5" max="5" width="13.63"/>
    <col customWidth="1" min="6" max="6" width="16.13"/>
    <col customWidth="1" min="7" max="7" width="16.75"/>
    <col customWidth="1" min="8" max="8" width="34.38"/>
    <col customWidth="1" min="9" max="9" width="10.63"/>
    <col customWidth="1" min="10" max="10" width="13.75"/>
    <col customWidth="1" min="11" max="26" width="9.13"/>
  </cols>
  <sheetData>
    <row r="1" ht="27.75" customHeight="1">
      <c r="A1" s="1"/>
      <c r="B1" s="1"/>
      <c r="C1" s="1"/>
      <c r="D1" s="2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4"/>
      <c r="B2" s="5" t="s">
        <v>0</v>
      </c>
      <c r="C2" s="6"/>
      <c r="D2" s="6"/>
      <c r="E2" s="6"/>
      <c r="F2" s="6"/>
      <c r="G2" s="7"/>
      <c r="H2" s="8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4"/>
      <c r="B3" s="9" t="s">
        <v>1</v>
      </c>
      <c r="C3" s="10" t="s">
        <v>2</v>
      </c>
      <c r="D3" s="11"/>
      <c r="E3" s="11"/>
      <c r="F3" s="11"/>
      <c r="G3" s="12"/>
      <c r="H3" s="1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4"/>
      <c r="B4" s="14" t="s">
        <v>3</v>
      </c>
      <c r="C4" s="15" t="s">
        <v>4</v>
      </c>
      <c r="D4" s="16"/>
      <c r="E4" s="16"/>
      <c r="F4" s="16"/>
      <c r="G4" s="17"/>
      <c r="H4" s="1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7.75" customHeight="1">
      <c r="A5" s="1"/>
      <c r="B5" s="18"/>
      <c r="C5" s="1"/>
      <c r="D5" s="19"/>
      <c r="E5" s="19"/>
      <c r="F5" s="19"/>
      <c r="G5" s="19"/>
      <c r="H5" s="1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1"/>
      <c r="B6" s="1"/>
      <c r="C6" s="1"/>
      <c r="D6" s="2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20" t="s">
        <v>5</v>
      </c>
      <c r="B7" s="21" t="s">
        <v>6</v>
      </c>
      <c r="C7" s="22" t="s">
        <v>7</v>
      </c>
      <c r="D7" s="22" t="s">
        <v>8</v>
      </c>
      <c r="E7" s="21" t="s">
        <v>9</v>
      </c>
      <c r="F7" s="21" t="s">
        <v>10</v>
      </c>
      <c r="G7" s="21" t="s">
        <v>11</v>
      </c>
      <c r="H7" s="19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27.75" customHeight="1">
      <c r="A8" s="1"/>
      <c r="B8" s="23" t="s">
        <v>12</v>
      </c>
      <c r="C8" s="24" t="s">
        <v>13</v>
      </c>
      <c r="D8" s="24" t="s">
        <v>14</v>
      </c>
      <c r="E8" s="25">
        <v>3.0</v>
      </c>
      <c r="F8" s="26">
        <v>1.0</v>
      </c>
      <c r="G8" s="25">
        <v>1.0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75" customHeight="1">
      <c r="A9" s="1"/>
      <c r="B9" s="27" t="s">
        <v>15</v>
      </c>
      <c r="C9" s="28" t="s">
        <v>13</v>
      </c>
      <c r="D9" s="28" t="s">
        <v>16</v>
      </c>
      <c r="E9" s="29">
        <v>3.0</v>
      </c>
      <c r="F9" s="30">
        <v>1.0</v>
      </c>
      <c r="G9" s="29">
        <v>1.0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75" customHeight="1">
      <c r="A10" s="1"/>
      <c r="B10" s="27" t="s">
        <v>17</v>
      </c>
      <c r="C10" s="28" t="s">
        <v>13</v>
      </c>
      <c r="D10" s="28" t="s">
        <v>18</v>
      </c>
      <c r="E10" s="29">
        <v>3.0</v>
      </c>
      <c r="F10" s="30">
        <v>1.0</v>
      </c>
      <c r="G10" s="29">
        <v>1.0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75" customHeight="1">
      <c r="A11" s="1"/>
      <c r="B11" s="31"/>
      <c r="C11" s="32" t="s">
        <v>19</v>
      </c>
      <c r="D11" s="6"/>
      <c r="E11" s="6"/>
      <c r="F11" s="7"/>
      <c r="G11" s="33">
        <f>SUM(G8:G10)</f>
        <v>3</v>
      </c>
      <c r="H11" s="20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75" customHeight="1">
      <c r="A12" s="1"/>
      <c r="B12" s="20"/>
      <c r="C12" s="34"/>
      <c r="D12" s="3"/>
      <c r="E12" s="3"/>
      <c r="F12" s="3"/>
      <c r="G12" s="35"/>
      <c r="H12" s="2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75" customHeight="1">
      <c r="A13" s="1"/>
      <c r="B13" s="20"/>
      <c r="C13" s="36"/>
      <c r="D13" s="36"/>
      <c r="E13" s="37"/>
      <c r="F13" s="20"/>
      <c r="G13" s="20"/>
      <c r="H13" s="2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75" customHeight="1">
      <c r="A14" s="20" t="s">
        <v>20</v>
      </c>
      <c r="B14" s="21" t="s">
        <v>21</v>
      </c>
      <c r="C14" s="21" t="s">
        <v>22</v>
      </c>
      <c r="D14" s="22" t="s">
        <v>23</v>
      </c>
      <c r="E14" s="22" t="s">
        <v>24</v>
      </c>
      <c r="F14" s="21" t="s">
        <v>9</v>
      </c>
      <c r="G14" s="19"/>
      <c r="H14" s="19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38"/>
      <c r="U14" s="1"/>
      <c r="V14" s="1"/>
      <c r="W14" s="1"/>
      <c r="X14" s="1"/>
      <c r="Y14" s="1"/>
      <c r="Z14" s="1"/>
    </row>
    <row r="15" ht="27.75" customHeight="1">
      <c r="A15" s="1"/>
      <c r="B15" s="39" t="s">
        <v>25</v>
      </c>
      <c r="C15" s="40"/>
      <c r="D15" s="41">
        <v>4.0</v>
      </c>
      <c r="E15" s="42" t="s">
        <v>26</v>
      </c>
      <c r="F15" s="42">
        <v>10.0</v>
      </c>
      <c r="G15" s="1"/>
      <c r="H15" s="1"/>
      <c r="I15" s="1"/>
      <c r="J15" s="1"/>
      <c r="K15" s="38"/>
      <c r="L15" s="1"/>
      <c r="M15" s="1"/>
      <c r="N15" s="1"/>
      <c r="O15" s="1"/>
      <c r="P15" s="1"/>
      <c r="Q15" s="1"/>
      <c r="R15" s="1"/>
      <c r="S15" s="1"/>
      <c r="T15" s="38"/>
      <c r="U15" s="1"/>
      <c r="V15" s="1"/>
      <c r="W15" s="1"/>
      <c r="X15" s="1"/>
      <c r="Y15" s="1"/>
      <c r="Z15" s="1"/>
    </row>
    <row r="16" ht="27.75" customHeight="1">
      <c r="A16" s="1"/>
      <c r="B16" s="39" t="s">
        <v>27</v>
      </c>
      <c r="C16" s="40"/>
      <c r="D16" s="41">
        <v>4.0</v>
      </c>
      <c r="E16" s="42" t="s">
        <v>26</v>
      </c>
      <c r="F16" s="42">
        <v>10.0</v>
      </c>
      <c r="G16" s="1"/>
      <c r="H16" s="1"/>
      <c r="I16" s="1"/>
      <c r="J16" s="1"/>
      <c r="K16" s="38"/>
      <c r="L16" s="1"/>
      <c r="M16" s="1"/>
      <c r="N16" s="1"/>
      <c r="O16" s="1"/>
      <c r="P16" s="1"/>
      <c r="Q16" s="1"/>
      <c r="R16" s="1"/>
      <c r="S16" s="1"/>
      <c r="T16" s="38"/>
      <c r="U16" s="1"/>
      <c r="V16" s="1"/>
      <c r="W16" s="1"/>
      <c r="X16" s="1"/>
      <c r="Y16" s="1"/>
      <c r="Z16" s="1"/>
    </row>
    <row r="17" ht="27.75" customHeight="1">
      <c r="A17" s="1"/>
      <c r="B17" s="39"/>
      <c r="C17" s="40"/>
      <c r="D17" s="41"/>
      <c r="E17" s="42"/>
      <c r="F17" s="42"/>
      <c r="G17" s="1"/>
      <c r="H17" s="1"/>
      <c r="I17" s="1"/>
      <c r="J17" s="1"/>
      <c r="K17" s="38"/>
      <c r="L17" s="1"/>
      <c r="M17" s="1"/>
      <c r="N17" s="1"/>
      <c r="O17" s="1"/>
      <c r="P17" s="1"/>
      <c r="Q17" s="1"/>
      <c r="R17" s="1"/>
      <c r="S17" s="1"/>
      <c r="T17" s="38"/>
      <c r="U17" s="1"/>
      <c r="V17" s="1"/>
      <c r="W17" s="1"/>
      <c r="X17" s="1"/>
      <c r="Y17" s="1"/>
      <c r="Z17" s="1"/>
    </row>
    <row r="18" ht="27.75" customHeight="1">
      <c r="A18" s="1"/>
      <c r="B18" s="39"/>
      <c r="C18" s="40"/>
      <c r="D18" s="41"/>
      <c r="E18" s="42"/>
      <c r="F18" s="42"/>
      <c r="G18" s="1"/>
      <c r="H18" s="1"/>
      <c r="I18" s="1"/>
      <c r="J18" s="1"/>
      <c r="K18" s="38"/>
      <c r="L18" s="1"/>
      <c r="M18" s="1"/>
      <c r="N18" s="1"/>
      <c r="O18" s="1"/>
      <c r="P18" s="1"/>
      <c r="Q18" s="1"/>
      <c r="R18" s="1"/>
      <c r="S18" s="1"/>
      <c r="T18" s="38"/>
      <c r="U18" s="1"/>
      <c r="V18" s="1"/>
      <c r="W18" s="1"/>
      <c r="X18" s="1"/>
      <c r="Y18" s="1"/>
      <c r="Z18" s="1"/>
    </row>
    <row r="19" ht="27.75" customHeight="1">
      <c r="A19" s="1"/>
      <c r="B19" s="39"/>
      <c r="C19" s="40"/>
      <c r="D19" s="41"/>
      <c r="E19" s="42"/>
      <c r="F19" s="42"/>
      <c r="G19" s="1"/>
      <c r="H19" s="1"/>
      <c r="I19" s="1"/>
      <c r="J19" s="1"/>
      <c r="K19" s="38"/>
      <c r="L19" s="1"/>
      <c r="M19" s="1"/>
      <c r="N19" s="1"/>
      <c r="O19" s="1"/>
      <c r="P19" s="1"/>
      <c r="Q19" s="1"/>
      <c r="R19" s="1"/>
      <c r="S19" s="1"/>
      <c r="T19" s="38"/>
      <c r="U19" s="1"/>
      <c r="V19" s="1"/>
      <c r="W19" s="1"/>
      <c r="X19" s="1"/>
      <c r="Y19" s="1"/>
      <c r="Z19" s="1"/>
    </row>
    <row r="20" ht="27.75" customHeight="1">
      <c r="A20" s="1"/>
      <c r="B20" s="39"/>
      <c r="C20" s="40"/>
      <c r="D20" s="41"/>
      <c r="E20" s="42"/>
      <c r="F20" s="42"/>
      <c r="G20" s="1"/>
      <c r="H20" s="1"/>
      <c r="I20" s="1"/>
      <c r="J20" s="1"/>
      <c r="K20" s="38"/>
      <c r="L20" s="1"/>
      <c r="M20" s="1"/>
      <c r="N20" s="1"/>
      <c r="O20" s="1"/>
      <c r="P20" s="1"/>
      <c r="Q20" s="1"/>
      <c r="R20" s="1"/>
      <c r="S20" s="1"/>
      <c r="T20" s="38"/>
      <c r="U20" s="1"/>
      <c r="V20" s="1"/>
      <c r="W20" s="1"/>
      <c r="X20" s="1"/>
      <c r="Y20" s="1"/>
      <c r="Z20" s="1"/>
    </row>
    <row r="21" ht="27.75" customHeight="1">
      <c r="A21" s="1"/>
      <c r="B21" s="39"/>
      <c r="C21" s="40"/>
      <c r="D21" s="41"/>
      <c r="E21" s="42"/>
      <c r="F21" s="42"/>
      <c r="G21" s="1"/>
      <c r="H21" s="1"/>
      <c r="I21" s="1"/>
      <c r="J21" s="1"/>
      <c r="K21" s="38"/>
      <c r="L21" s="1"/>
      <c r="M21" s="1"/>
      <c r="N21" s="1"/>
      <c r="O21" s="1"/>
      <c r="P21" s="1"/>
      <c r="Q21" s="1"/>
      <c r="R21" s="1"/>
      <c r="S21" s="1"/>
      <c r="T21" s="38"/>
      <c r="U21" s="1"/>
      <c r="V21" s="1"/>
      <c r="W21" s="1"/>
      <c r="X21" s="1"/>
      <c r="Y21" s="1"/>
      <c r="Z21" s="1"/>
    </row>
    <row r="22" ht="27.75" customHeight="1">
      <c r="A22" s="1"/>
      <c r="B22" s="39"/>
      <c r="C22" s="40"/>
      <c r="D22" s="41"/>
      <c r="E22" s="42"/>
      <c r="F22" s="42"/>
      <c r="G22" s="1"/>
      <c r="H22" s="1"/>
      <c r="I22" s="1"/>
      <c r="J22" s="1"/>
      <c r="K22" s="38"/>
      <c r="L22" s="1"/>
      <c r="M22" s="1"/>
      <c r="N22" s="1"/>
      <c r="O22" s="1"/>
      <c r="P22" s="1"/>
      <c r="Q22" s="1"/>
      <c r="R22" s="1"/>
      <c r="S22" s="1"/>
      <c r="T22" s="38"/>
      <c r="U22" s="1"/>
      <c r="V22" s="1"/>
      <c r="W22" s="1"/>
      <c r="X22" s="1"/>
      <c r="Y22" s="1"/>
      <c r="Z22" s="1"/>
    </row>
    <row r="23" ht="27.75" customHeight="1">
      <c r="A23" s="1"/>
      <c r="B23" s="39"/>
      <c r="C23" s="40"/>
      <c r="D23" s="41"/>
      <c r="E23" s="42"/>
      <c r="F23" s="42"/>
      <c r="G23" s="1"/>
      <c r="H23" s="1"/>
      <c r="I23" s="1"/>
      <c r="J23" s="1"/>
      <c r="K23" s="38"/>
      <c r="L23" s="1"/>
      <c r="M23" s="1"/>
      <c r="N23" s="1"/>
      <c r="O23" s="1"/>
      <c r="P23" s="1"/>
      <c r="Q23" s="1"/>
      <c r="R23" s="1"/>
      <c r="S23" s="1"/>
      <c r="T23" s="38"/>
      <c r="U23" s="1"/>
      <c r="V23" s="1"/>
      <c r="W23" s="1"/>
      <c r="X23" s="1"/>
      <c r="Y23" s="1"/>
      <c r="Z23" s="1"/>
    </row>
    <row r="24" ht="27.75" customHeight="1">
      <c r="A24" s="1"/>
      <c r="B24" s="44"/>
      <c r="C24" s="45" t="s">
        <v>28</v>
      </c>
      <c r="D24" s="46"/>
      <c r="E24" s="47"/>
      <c r="F24" s="48">
        <f>SUM(F15:F23)</f>
        <v>20</v>
      </c>
      <c r="G24" s="1"/>
      <c r="H24" s="20"/>
      <c r="I24" s="1"/>
      <c r="J24" s="1"/>
      <c r="K24" s="38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75" customHeight="1">
      <c r="A25" s="1"/>
      <c r="B25" s="1"/>
      <c r="C25" s="1"/>
      <c r="D25" s="2"/>
      <c r="E25" s="3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75" customHeight="1">
      <c r="A26" s="1"/>
      <c r="B26" s="1"/>
      <c r="C26" s="1"/>
      <c r="D26" s="2"/>
      <c r="E26" s="3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75" customHeight="1">
      <c r="A27" s="20" t="s">
        <v>29</v>
      </c>
      <c r="B27" s="49"/>
      <c r="C27" s="32" t="s">
        <v>153</v>
      </c>
      <c r="D27" s="6"/>
      <c r="E27" s="7"/>
      <c r="F27" s="33">
        <f>G11+F24</f>
        <v>23</v>
      </c>
      <c r="G27" s="1"/>
      <c r="H27" s="20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75" customHeight="1">
      <c r="A28" s="1"/>
      <c r="B28" s="1"/>
      <c r="C28" s="1"/>
      <c r="D28" s="2"/>
      <c r="E28" s="3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75" customHeight="1">
      <c r="A29" s="1"/>
      <c r="B29" s="3"/>
      <c r="C29" s="1"/>
      <c r="D29" s="2"/>
      <c r="E29" s="3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75" customHeight="1">
      <c r="A30" s="20" t="s">
        <v>31</v>
      </c>
      <c r="B30" s="22" t="s">
        <v>32</v>
      </c>
      <c r="C30" s="22" t="s">
        <v>33</v>
      </c>
      <c r="D30" s="21" t="s">
        <v>34</v>
      </c>
      <c r="E30" s="21" t="s">
        <v>9</v>
      </c>
      <c r="F30" s="21" t="s">
        <v>35</v>
      </c>
      <c r="G30" s="21" t="s">
        <v>36</v>
      </c>
      <c r="H30" s="1" t="s">
        <v>37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27.75" customHeight="1">
      <c r="A31" s="1"/>
      <c r="B31" s="50" t="s">
        <v>38</v>
      </c>
      <c r="C31" s="50" t="s">
        <v>39</v>
      </c>
      <c r="D31" s="23" t="s">
        <v>40</v>
      </c>
      <c r="E31" s="51">
        <v>2.0</v>
      </c>
      <c r="F31" s="26">
        <v>0.0</v>
      </c>
      <c r="G31" s="51">
        <v>0.0</v>
      </c>
      <c r="H31" s="52" t="s">
        <v>41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50" t="s">
        <v>42</v>
      </c>
      <c r="C32" s="50" t="s">
        <v>39</v>
      </c>
      <c r="D32" s="27" t="s">
        <v>43</v>
      </c>
      <c r="E32" s="53">
        <v>2.0</v>
      </c>
      <c r="F32" s="30">
        <v>5.0</v>
      </c>
      <c r="G32" s="53">
        <v>10.0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75" customHeight="1">
      <c r="A33" s="1"/>
      <c r="B33" s="50" t="s">
        <v>44</v>
      </c>
      <c r="C33" s="50" t="s">
        <v>39</v>
      </c>
      <c r="D33" s="54"/>
      <c r="E33" s="53">
        <v>1.0</v>
      </c>
      <c r="F33" s="30">
        <v>5.0</v>
      </c>
      <c r="G33" s="53">
        <v>5.0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50" t="s">
        <v>45</v>
      </c>
      <c r="C34" s="50" t="s">
        <v>39</v>
      </c>
      <c r="D34" s="27" t="s">
        <v>46</v>
      </c>
      <c r="E34" s="53">
        <v>1.0</v>
      </c>
      <c r="F34" s="30">
        <v>3.0</v>
      </c>
      <c r="G34" s="53">
        <v>3.0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75" customHeight="1">
      <c r="A35" s="1"/>
      <c r="B35" s="50" t="s">
        <v>47</v>
      </c>
      <c r="C35" s="50" t="s">
        <v>39</v>
      </c>
      <c r="D35" s="27" t="s">
        <v>48</v>
      </c>
      <c r="E35" s="53">
        <v>1.0</v>
      </c>
      <c r="F35" s="30">
        <v>0.0</v>
      </c>
      <c r="G35" s="53">
        <v>0.0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75" customHeight="1">
      <c r="A36" s="1"/>
      <c r="B36" s="50" t="s">
        <v>49</v>
      </c>
      <c r="C36" s="50" t="s">
        <v>39</v>
      </c>
      <c r="D36" s="27" t="s">
        <v>50</v>
      </c>
      <c r="E36" s="53" t="s">
        <v>79</v>
      </c>
      <c r="F36" s="30">
        <v>3.0</v>
      </c>
      <c r="G36" s="53" t="s">
        <v>75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75" customHeight="1">
      <c r="A37" s="1"/>
      <c r="B37" s="50" t="s">
        <v>51</v>
      </c>
      <c r="C37" s="50" t="s">
        <v>39</v>
      </c>
      <c r="D37" s="27" t="s">
        <v>52</v>
      </c>
      <c r="E37" s="53" t="s">
        <v>79</v>
      </c>
      <c r="F37" s="30">
        <v>5.0</v>
      </c>
      <c r="G37" s="53" t="s">
        <v>154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75" customHeight="1">
      <c r="A38" s="1"/>
      <c r="B38" s="50" t="s">
        <v>53</v>
      </c>
      <c r="C38" s="50" t="s">
        <v>39</v>
      </c>
      <c r="D38" s="27" t="s">
        <v>54</v>
      </c>
      <c r="E38" s="53">
        <v>2.0</v>
      </c>
      <c r="F38" s="30">
        <v>3.0</v>
      </c>
      <c r="G38" s="53">
        <v>6.0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75" customHeight="1">
      <c r="A39" s="1"/>
      <c r="B39" s="50" t="s">
        <v>55</v>
      </c>
      <c r="C39" s="50" t="s">
        <v>39</v>
      </c>
      <c r="D39" s="27" t="s">
        <v>155</v>
      </c>
      <c r="E39" s="53">
        <v>1.0</v>
      </c>
      <c r="F39" s="30">
        <v>0.0</v>
      </c>
      <c r="G39" s="53">
        <v>0.0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75" customHeight="1">
      <c r="A40" s="1"/>
      <c r="B40" s="50" t="s">
        <v>57</v>
      </c>
      <c r="C40" s="50" t="s">
        <v>39</v>
      </c>
      <c r="D40" s="54"/>
      <c r="E40" s="53">
        <v>1.0</v>
      </c>
      <c r="F40" s="30">
        <v>5.0</v>
      </c>
      <c r="G40" s="53">
        <v>5.0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50" t="s">
        <v>59</v>
      </c>
      <c r="C41" s="50" t="s">
        <v>39</v>
      </c>
      <c r="D41" s="27" t="s">
        <v>60</v>
      </c>
      <c r="E41" s="53">
        <v>1.0</v>
      </c>
      <c r="F41" s="30">
        <v>5.0</v>
      </c>
      <c r="G41" s="53">
        <v>5.0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50" t="s">
        <v>61</v>
      </c>
      <c r="C42" s="50" t="s">
        <v>39</v>
      </c>
      <c r="D42" s="27" t="s">
        <v>62</v>
      </c>
      <c r="E42" s="53">
        <v>1.0</v>
      </c>
      <c r="F42" s="30">
        <v>5.0</v>
      </c>
      <c r="G42" s="53">
        <v>5.0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50" t="s">
        <v>63</v>
      </c>
      <c r="C43" s="50" t="s">
        <v>39</v>
      </c>
      <c r="D43" s="27" t="s">
        <v>64</v>
      </c>
      <c r="E43" s="53">
        <v>1.0</v>
      </c>
      <c r="F43" s="30">
        <v>4.0</v>
      </c>
      <c r="G43" s="53">
        <v>4.0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75" customHeight="1">
      <c r="A44" s="1"/>
      <c r="B44" s="32" t="s">
        <v>156</v>
      </c>
      <c r="C44" s="6"/>
      <c r="D44" s="6"/>
      <c r="E44" s="6"/>
      <c r="F44" s="7"/>
      <c r="G44" s="55">
        <f>SUM(G31:G43)</f>
        <v>43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75" customHeight="1">
      <c r="A45" s="1"/>
      <c r="B45" s="32" t="s">
        <v>157</v>
      </c>
      <c r="C45" s="6"/>
      <c r="D45" s="6"/>
      <c r="E45" s="6"/>
      <c r="F45" s="7"/>
      <c r="G45" s="48">
        <f>0.6+(0.01*G44)</f>
        <v>1.03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75" customHeight="1">
      <c r="A46" s="1"/>
      <c r="B46" s="34"/>
      <c r="C46" s="3"/>
      <c r="D46" s="3"/>
      <c r="E46" s="3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75" customHeight="1">
      <c r="A47" s="1"/>
      <c r="B47" s="56"/>
      <c r="C47" s="56"/>
      <c r="D47" s="57"/>
      <c r="E47" s="56"/>
      <c r="F47" s="56"/>
      <c r="G47" s="56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20" t="s">
        <v>67</v>
      </c>
      <c r="B48" s="22" t="s">
        <v>68</v>
      </c>
      <c r="C48" s="22" t="s">
        <v>69</v>
      </c>
      <c r="D48" s="21" t="s">
        <v>70</v>
      </c>
      <c r="E48" s="21" t="s">
        <v>9</v>
      </c>
      <c r="F48" s="21" t="s">
        <v>35</v>
      </c>
      <c r="G48" s="21" t="s">
        <v>36</v>
      </c>
      <c r="H48" s="1" t="s">
        <v>71</v>
      </c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5.75" customHeight="1">
      <c r="A49" s="1"/>
      <c r="B49" s="58" t="s">
        <v>72</v>
      </c>
      <c r="C49" s="50" t="s">
        <v>73</v>
      </c>
      <c r="D49" s="23" t="s">
        <v>158</v>
      </c>
      <c r="E49" s="51" t="s">
        <v>75</v>
      </c>
      <c r="F49" s="26">
        <v>3.0</v>
      </c>
      <c r="G49" s="51" t="s">
        <v>76</v>
      </c>
      <c r="H49" s="52" t="s">
        <v>41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58" t="s">
        <v>77</v>
      </c>
      <c r="C50" s="50" t="s">
        <v>73</v>
      </c>
      <c r="D50" s="27" t="s">
        <v>159</v>
      </c>
      <c r="E50" s="53" t="s">
        <v>79</v>
      </c>
      <c r="F50" s="30">
        <v>3.0</v>
      </c>
      <c r="G50" s="53" t="s">
        <v>75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58" t="s">
        <v>80</v>
      </c>
      <c r="C51" s="50" t="s">
        <v>73</v>
      </c>
      <c r="D51" s="27" t="s">
        <v>160</v>
      </c>
      <c r="E51" s="53">
        <v>1.0</v>
      </c>
      <c r="F51" s="30">
        <v>3.0</v>
      </c>
      <c r="G51" s="53">
        <v>3.0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58" t="s">
        <v>82</v>
      </c>
      <c r="C52" s="50" t="s">
        <v>73</v>
      </c>
      <c r="D52" s="27" t="s">
        <v>161</v>
      </c>
      <c r="E52" s="53" t="s">
        <v>79</v>
      </c>
      <c r="F52" s="30">
        <v>2.0</v>
      </c>
      <c r="G52" s="53">
        <v>1.0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75" customHeight="1">
      <c r="A53" s="1"/>
      <c r="B53" s="58" t="s">
        <v>84</v>
      </c>
      <c r="C53" s="50" t="s">
        <v>85</v>
      </c>
      <c r="D53" s="27" t="s">
        <v>162</v>
      </c>
      <c r="E53" s="53">
        <v>1.0</v>
      </c>
      <c r="F53" s="30">
        <v>3.0</v>
      </c>
      <c r="G53" s="53">
        <v>3.0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58" t="s">
        <v>87</v>
      </c>
      <c r="C54" s="50" t="s">
        <v>88</v>
      </c>
      <c r="D54" s="27" t="s">
        <v>163</v>
      </c>
      <c r="E54" s="53">
        <v>2.0</v>
      </c>
      <c r="F54" s="30">
        <v>4.0</v>
      </c>
      <c r="G54" s="53">
        <v>8.0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58" t="s">
        <v>90</v>
      </c>
      <c r="C55" s="50" t="s">
        <v>91</v>
      </c>
      <c r="D55" s="27" t="s">
        <v>92</v>
      </c>
      <c r="E55" s="53">
        <v>-1.0</v>
      </c>
      <c r="F55" s="30">
        <v>2.0</v>
      </c>
      <c r="G55" s="53">
        <v>-2.0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58" t="s">
        <v>93</v>
      </c>
      <c r="C56" s="50" t="s">
        <v>94</v>
      </c>
      <c r="D56" s="27" t="s">
        <v>164</v>
      </c>
      <c r="E56" s="53">
        <v>-1.0</v>
      </c>
      <c r="F56" s="30">
        <v>4.0</v>
      </c>
      <c r="G56" s="53">
        <v>-4.0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75" customHeight="1">
      <c r="A57" s="1"/>
      <c r="B57" s="32" t="s">
        <v>96</v>
      </c>
      <c r="C57" s="6"/>
      <c r="D57" s="6"/>
      <c r="E57" s="6"/>
      <c r="F57" s="7"/>
      <c r="G57" s="21">
        <f>SUM(G49:G56)</f>
        <v>9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75" customHeight="1">
      <c r="A58" s="1"/>
      <c r="B58" s="32" t="s">
        <v>165</v>
      </c>
      <c r="C58" s="6"/>
      <c r="D58" s="6"/>
      <c r="E58" s="6"/>
      <c r="F58" s="7"/>
      <c r="G58" s="21">
        <f>1.4 + (-0.03*G57)</f>
        <v>1.13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75" customHeight="1">
      <c r="A59" s="1"/>
      <c r="B59" s="32"/>
      <c r="C59" s="59"/>
      <c r="D59" s="60"/>
      <c r="E59" s="59"/>
      <c r="F59" s="61" t="s">
        <v>98</v>
      </c>
      <c r="G59" s="21">
        <f>COUNTIF($F$49:$F$54,"&lt;3")+COUNTIF($F$55:$F$56,"&gt;3")</f>
        <v>2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75" customHeight="1">
      <c r="A60" s="1"/>
      <c r="B60" s="34"/>
      <c r="C60" s="3"/>
      <c r="D60" s="3"/>
      <c r="E60" s="3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75" customHeight="1">
      <c r="A61" s="1"/>
      <c r="B61" s="1"/>
      <c r="C61" s="1"/>
      <c r="D61" s="2"/>
      <c r="E61" s="3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75" customHeight="1">
      <c r="A62" s="20" t="s">
        <v>99</v>
      </c>
      <c r="B62" s="62" t="s">
        <v>166</v>
      </c>
      <c r="C62" s="6"/>
      <c r="D62" s="6"/>
      <c r="E62" s="6"/>
      <c r="F62" s="7"/>
      <c r="G62" s="63">
        <f>F27*G45*G58</f>
        <v>26.7697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75" customHeight="1">
      <c r="A63" s="1"/>
      <c r="B63" s="1"/>
      <c r="C63" s="1"/>
      <c r="D63" s="2"/>
      <c r="E63" s="3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75" customHeight="1">
      <c r="A64" s="1"/>
      <c r="B64" s="1"/>
      <c r="C64" s="1"/>
      <c r="D64" s="2"/>
      <c r="E64" s="3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64" t="s">
        <v>101</v>
      </c>
      <c r="B65" s="22" t="s">
        <v>102</v>
      </c>
      <c r="C65" s="22" t="s">
        <v>103</v>
      </c>
      <c r="D65" s="22" t="s">
        <v>104</v>
      </c>
      <c r="E65" s="3"/>
      <c r="F65" s="1"/>
      <c r="G65" s="22" t="s">
        <v>105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75" customHeight="1">
      <c r="A66" s="1"/>
      <c r="B66" s="65">
        <v>20.0</v>
      </c>
      <c r="C66" s="65">
        <f>IF($G$59&gt;=5,36,IF(AND(G$59&gt;2,$G$59&lt;=4),28, IF(AND($G$59&gt;=0,$G$59&lt;=2),20,"error")))</f>
        <v>20</v>
      </c>
      <c r="D66" s="66">
        <f>IF($G$59&gt;=5,$G$66*(36/20),IF(AND($G$59&gt;2,$G$59&lt;=4),$G$66*(28/20), IF(AND($G$59&gt;=0,$G$59&lt;=2),$G$66,"error")))</f>
        <v>2</v>
      </c>
      <c r="E66" s="3"/>
      <c r="F66" s="1"/>
      <c r="G66" s="67">
        <v>2.0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75" customHeight="1">
      <c r="A67" s="1"/>
      <c r="B67" s="68" t="s">
        <v>106</v>
      </c>
      <c r="C67" s="6"/>
      <c r="D67" s="7"/>
      <c r="E67" s="3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69" t="s">
        <v>107</v>
      </c>
      <c r="B68" s="65">
        <f t="shared" ref="B68:D68" si="1">$G$62*B66</f>
        <v>535.394</v>
      </c>
      <c r="C68" s="65">
        <f t="shared" si="1"/>
        <v>535.394</v>
      </c>
      <c r="D68" s="65">
        <f t="shared" si="1"/>
        <v>53.5394</v>
      </c>
      <c r="E68" s="3"/>
      <c r="F68" s="1"/>
      <c r="G68" s="22" t="s">
        <v>108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75" customHeight="1">
      <c r="A69" s="69" t="s">
        <v>109</v>
      </c>
      <c r="B69" s="70">
        <f>B68/(22*G69)</f>
        <v>12.16804545</v>
      </c>
      <c r="C69" s="70">
        <f>C68/(22*G69)</f>
        <v>12.16804545</v>
      </c>
      <c r="D69" s="71">
        <f>D68/(22*G69)</f>
        <v>1.216804545</v>
      </c>
      <c r="E69" s="3"/>
      <c r="F69" s="1"/>
      <c r="G69" s="67">
        <v>2.0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A70" s="1"/>
      <c r="B70" s="1"/>
      <c r="C70" s="1"/>
      <c r="D70" s="2"/>
      <c r="E70" s="3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A71" s="1"/>
      <c r="B71" s="1"/>
      <c r="C71" s="1"/>
      <c r="D71" s="2"/>
      <c r="E71" s="3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75" customHeight="1">
      <c r="A72" s="20" t="s">
        <v>110</v>
      </c>
      <c r="B72" s="72" t="s">
        <v>111</v>
      </c>
      <c r="C72" s="73"/>
      <c r="D72" s="60"/>
      <c r="E72" s="59"/>
      <c r="F72" s="74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75" customHeight="1">
      <c r="A73" s="1"/>
      <c r="B73" s="49" t="s">
        <v>112</v>
      </c>
      <c r="C73" s="21" t="s">
        <v>113</v>
      </c>
      <c r="D73" s="63" t="s">
        <v>114</v>
      </c>
      <c r="E73" s="63" t="s">
        <v>115</v>
      </c>
      <c r="F73" s="63" t="s">
        <v>116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75" customHeight="1">
      <c r="A74" s="1"/>
      <c r="B74" s="75" t="s">
        <v>117</v>
      </c>
      <c r="C74" s="76">
        <v>0.4</v>
      </c>
      <c r="D74" s="70">
        <f t="shared" ref="D74:F74" si="2">+B68</f>
        <v>535.394</v>
      </c>
      <c r="E74" s="70">
        <f t="shared" si="2"/>
        <v>535.394</v>
      </c>
      <c r="F74" s="70">
        <f t="shared" si="2"/>
        <v>53.5394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75" customHeight="1">
      <c r="A75" s="1"/>
      <c r="B75" s="75" t="s">
        <v>118</v>
      </c>
      <c r="C75" s="76">
        <f>1-C74</f>
        <v>0.6</v>
      </c>
      <c r="D75" s="65">
        <f t="shared" ref="D75:F75" si="3">+D74*1.5</f>
        <v>803.091</v>
      </c>
      <c r="E75" s="65">
        <f t="shared" si="3"/>
        <v>803.091</v>
      </c>
      <c r="F75" s="65">
        <f t="shared" si="3"/>
        <v>80.3091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75" customHeight="1">
      <c r="A76" s="1"/>
      <c r="B76" s="77"/>
      <c r="C76" s="76">
        <f>SUM(C74:C75)</f>
        <v>1</v>
      </c>
      <c r="D76" s="70">
        <f t="shared" ref="D76:F76" si="4">+D74+D75</f>
        <v>1338.485</v>
      </c>
      <c r="E76" s="70">
        <f t="shared" si="4"/>
        <v>1338.485</v>
      </c>
      <c r="F76" s="70">
        <f t="shared" si="4"/>
        <v>133.8485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1"/>
      <c r="B77" s="1"/>
      <c r="C77" s="1"/>
      <c r="D77" s="1"/>
      <c r="E77" s="3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20" t="s">
        <v>119</v>
      </c>
      <c r="B78" s="72" t="s">
        <v>120</v>
      </c>
      <c r="C78" s="73"/>
      <c r="D78" s="60"/>
      <c r="E78" s="59"/>
      <c r="F78" s="74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75" customHeight="1">
      <c r="A79" s="1"/>
      <c r="B79" s="49" t="s">
        <v>112</v>
      </c>
      <c r="C79" s="21" t="s">
        <v>113</v>
      </c>
      <c r="D79" s="63" t="s">
        <v>121</v>
      </c>
      <c r="E79" s="63" t="s">
        <v>122</v>
      </c>
      <c r="F79" s="63" t="s">
        <v>123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75" customHeight="1">
      <c r="A80" s="1"/>
      <c r="B80" s="75" t="s">
        <v>117</v>
      </c>
      <c r="C80" s="76">
        <v>0.4</v>
      </c>
      <c r="D80" s="70">
        <f t="shared" ref="D80:F80" si="5">$C80/$C$80*B$69</f>
        <v>12.16804545</v>
      </c>
      <c r="E80" s="70">
        <f t="shared" si="5"/>
        <v>12.16804545</v>
      </c>
      <c r="F80" s="70">
        <f t="shared" si="5"/>
        <v>1.216804545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75" customHeight="1">
      <c r="A81" s="1"/>
      <c r="B81" s="75" t="s">
        <v>118</v>
      </c>
      <c r="C81" s="76">
        <f>1-C80</f>
        <v>0.6</v>
      </c>
      <c r="D81" s="65">
        <f t="shared" ref="D81:F81" si="6">$C81/$C$80*B$69</f>
        <v>18.25206818</v>
      </c>
      <c r="E81" s="65">
        <f t="shared" si="6"/>
        <v>18.25206818</v>
      </c>
      <c r="F81" s="65">
        <f t="shared" si="6"/>
        <v>1.825206818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75" customHeight="1">
      <c r="A82" s="1"/>
      <c r="B82" s="77"/>
      <c r="C82" s="76">
        <f>SUM(C80:C81)</f>
        <v>1</v>
      </c>
      <c r="D82" s="70">
        <f t="shared" ref="D82:F82" si="7">$C82/$C$80*B$69</f>
        <v>30.42011364</v>
      </c>
      <c r="E82" s="70">
        <f t="shared" si="7"/>
        <v>30.42011364</v>
      </c>
      <c r="F82" s="70">
        <f t="shared" si="7"/>
        <v>3.042011364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75" customHeight="1">
      <c r="A83" s="1"/>
      <c r="B83" s="1"/>
      <c r="C83" s="1"/>
      <c r="D83" s="2"/>
      <c r="E83" s="3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75" customHeight="1">
      <c r="A84" s="20" t="s">
        <v>124</v>
      </c>
      <c r="B84" s="78">
        <v>5.0</v>
      </c>
      <c r="C84" s="1"/>
      <c r="D84" s="2"/>
      <c r="E84" s="3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75" customHeight="1">
      <c r="A85" s="1"/>
      <c r="B85" s="1"/>
      <c r="C85" s="1"/>
      <c r="D85" s="2"/>
      <c r="E85" s="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75" customHeight="1">
      <c r="A86" s="20" t="s">
        <v>125</v>
      </c>
      <c r="B86" s="63" t="s">
        <v>126</v>
      </c>
      <c r="C86" s="63" t="s">
        <v>127</v>
      </c>
      <c r="D86" s="63" t="s">
        <v>128</v>
      </c>
      <c r="E86" s="3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75" customHeight="1">
      <c r="A87" s="79"/>
      <c r="B87" s="80">
        <f>$D$82/$B$84</f>
        <v>6.084022727</v>
      </c>
      <c r="C87" s="80">
        <f>$E$82/$B$84</f>
        <v>6.084022727</v>
      </c>
      <c r="D87" s="80">
        <f>$F$82/$B$84</f>
        <v>0.6084022727</v>
      </c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</row>
    <row r="88" ht="15.75" customHeight="1">
      <c r="A88" s="79"/>
      <c r="B88" s="79"/>
      <c r="C88" s="79"/>
      <c r="D88" s="79"/>
      <c r="E88" s="81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</row>
    <row r="89" ht="15.75" customHeight="1">
      <c r="A89" s="79"/>
      <c r="B89" s="79"/>
      <c r="C89" s="79"/>
      <c r="D89" s="79"/>
      <c r="E89" s="81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</row>
    <row r="90" ht="15.75" customHeight="1">
      <c r="A90" s="79"/>
      <c r="B90" s="79"/>
      <c r="C90" s="79"/>
      <c r="D90" s="79"/>
      <c r="E90" s="81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</row>
    <row r="91" ht="15.75" customHeight="1">
      <c r="A91" s="79"/>
      <c r="B91" s="79"/>
      <c r="C91" s="79"/>
      <c r="D91" s="79"/>
      <c r="E91" s="81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</row>
    <row r="92" ht="15.75" customHeight="1">
      <c r="A92" s="79"/>
      <c r="B92" s="79"/>
      <c r="C92" s="79"/>
      <c r="D92" s="79"/>
      <c r="E92" s="81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</row>
    <row r="93" ht="15.75" customHeight="1">
      <c r="A93" s="79"/>
      <c r="B93" s="79"/>
      <c r="C93" s="79"/>
      <c r="D93" s="79"/>
      <c r="E93" s="81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</row>
    <row r="94" ht="15.75" customHeight="1">
      <c r="A94" s="79"/>
      <c r="B94" s="79"/>
      <c r="C94" s="79"/>
      <c r="D94" s="79"/>
      <c r="E94" s="81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</row>
    <row r="95" ht="15.75" customHeight="1">
      <c r="A95" s="79"/>
      <c r="B95" s="79"/>
      <c r="C95" s="79"/>
      <c r="D95" s="79"/>
      <c r="E95" s="81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 ht="15.75" customHeight="1">
      <c r="A96" s="79"/>
      <c r="B96" s="79"/>
      <c r="C96" s="79"/>
      <c r="D96" s="79"/>
      <c r="E96" s="81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</row>
    <row r="97" ht="15.75" customHeight="1">
      <c r="A97" s="79"/>
      <c r="B97" s="79"/>
      <c r="C97" s="79"/>
      <c r="D97" s="79"/>
      <c r="E97" s="81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 ht="15.75" customHeight="1">
      <c r="A98" s="79"/>
      <c r="B98" s="79"/>
      <c r="C98" s="79"/>
      <c r="D98" s="79"/>
      <c r="E98" s="81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 ht="15.75" customHeight="1">
      <c r="A99" s="79"/>
      <c r="B99" s="79"/>
      <c r="C99" s="79"/>
      <c r="D99" s="79"/>
      <c r="E99" s="81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 ht="15.75" customHeight="1">
      <c r="A100" s="79"/>
      <c r="B100" s="79"/>
      <c r="C100" s="79"/>
      <c r="D100" s="79"/>
      <c r="E100" s="81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  <row r="101" ht="15.75" customHeight="1">
      <c r="A101" s="79"/>
      <c r="B101" s="79"/>
      <c r="C101" s="79"/>
      <c r="D101" s="79"/>
      <c r="E101" s="81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 ht="15.75" customHeight="1">
      <c r="A102" s="79"/>
      <c r="B102" s="79"/>
      <c r="C102" s="79"/>
      <c r="D102" s="79"/>
      <c r="E102" s="81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 ht="15.75" customHeight="1">
      <c r="A103" s="79"/>
      <c r="B103" s="79"/>
      <c r="C103" s="79"/>
      <c r="D103" s="79"/>
      <c r="E103" s="81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 ht="15.75" customHeight="1">
      <c r="A104" s="1"/>
      <c r="B104" s="1"/>
      <c r="C104" s="1"/>
      <c r="D104" s="2"/>
      <c r="E104" s="3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2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2"/>
      <c r="E106" s="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2"/>
      <c r="E107" s="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2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2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2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2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2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2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2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2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2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2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2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2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2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2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2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2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2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2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2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2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2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2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2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2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2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2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2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2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2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2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2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2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2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2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2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2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2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2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2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2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2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2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2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2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2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2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2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2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2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2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2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2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2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2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2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2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2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2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2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2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2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2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2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2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2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2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2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2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2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2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2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2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2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2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2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2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2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2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2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2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2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2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2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2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2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2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2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2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2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2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2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2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2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2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2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2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2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2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2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2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2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2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2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2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2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2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2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2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2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2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2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2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2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2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2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2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2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2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2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2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2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2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2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2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2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2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2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2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2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2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2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2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2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2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2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2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2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2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2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2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2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2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2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2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2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2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2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2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2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2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2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2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2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2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2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2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2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2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2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2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2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2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2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2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2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2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2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2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2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2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2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2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2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2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2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2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2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2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2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2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0">
    <mergeCell ref="B58:F58"/>
    <mergeCell ref="B62:F62"/>
    <mergeCell ref="B67:D67"/>
    <mergeCell ref="B2:G2"/>
    <mergeCell ref="C11:F11"/>
    <mergeCell ref="C24:E24"/>
    <mergeCell ref="C27:E27"/>
    <mergeCell ref="B44:F44"/>
    <mergeCell ref="B45:F45"/>
    <mergeCell ref="B57:F57"/>
  </mergeCells>
  <dataValidations>
    <dataValidation type="decimal" allowBlank="1" showInputMessage="1" showErrorMessage="1" prompt="Entre 1 y 9 personas." sqref="B84">
      <formula1>1.0</formula1>
      <formula2>9.0</formula2>
    </dataValidation>
  </dataValidations>
  <hyperlinks>
    <hyperlink r:id="rId2" location="v=onepage&amp;q=e7%20part-time%20members&amp;f=false" ref="H31"/>
    <hyperlink r:id="rId3" location="v=onepage&amp;q=e7%20part-time%20members&amp;f=false" ref="H49"/>
  </hyperlinks>
  <printOptions/>
  <pageMargins bottom="1.0" footer="0.0" header="0.0" left="0.75" right="0.75" top="1.0"/>
  <pageSetup orientation="portrait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75"/>
    <col customWidth="1" min="2" max="2" width="32.13"/>
    <col customWidth="1" min="3" max="3" width="33.38"/>
    <col customWidth="1" min="4" max="4" width="38.63"/>
    <col customWidth="1" min="5" max="5" width="13.63"/>
    <col customWidth="1" min="6" max="6" width="16.13"/>
    <col customWidth="1" min="7" max="7" width="16.75"/>
    <col customWidth="1" min="8" max="8" width="34.38"/>
    <col customWidth="1" min="9" max="9" width="10.63"/>
    <col customWidth="1" min="10" max="10" width="13.75"/>
    <col customWidth="1" min="11" max="26" width="9.13"/>
  </cols>
  <sheetData>
    <row r="1" ht="27.75" customHeight="1">
      <c r="A1" s="1"/>
      <c r="B1" s="1"/>
      <c r="C1" s="1"/>
      <c r="D1" s="2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4"/>
      <c r="B2" s="5" t="s">
        <v>0</v>
      </c>
      <c r="C2" s="6"/>
      <c r="D2" s="6"/>
      <c r="E2" s="6"/>
      <c r="F2" s="6"/>
      <c r="G2" s="7"/>
      <c r="H2" s="8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4"/>
      <c r="B3" s="99" t="s">
        <v>1</v>
      </c>
      <c r="C3" s="4" t="s">
        <v>167</v>
      </c>
      <c r="D3" s="13"/>
      <c r="E3" s="13"/>
      <c r="F3" s="13"/>
      <c r="G3" s="100"/>
      <c r="H3" s="1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4"/>
      <c r="B4" s="101" t="s">
        <v>3</v>
      </c>
      <c r="C4" s="102" t="s">
        <v>168</v>
      </c>
      <c r="D4" s="103"/>
      <c r="E4" s="103"/>
      <c r="F4" s="103"/>
      <c r="G4" s="104"/>
      <c r="H4" s="1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7.75" customHeight="1">
      <c r="A5" s="1"/>
      <c r="B5" s="18"/>
      <c r="C5" s="1"/>
      <c r="D5" s="19"/>
      <c r="E5" s="19"/>
      <c r="F5" s="19"/>
      <c r="G5" s="19"/>
      <c r="H5" s="1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1"/>
      <c r="B6" s="1"/>
      <c r="C6" s="1"/>
      <c r="D6" s="2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20" t="s">
        <v>5</v>
      </c>
      <c r="B7" s="21" t="s">
        <v>6</v>
      </c>
      <c r="C7" s="22" t="s">
        <v>7</v>
      </c>
      <c r="D7" s="22" t="s">
        <v>8</v>
      </c>
      <c r="E7" s="21" t="s">
        <v>9</v>
      </c>
      <c r="F7" s="21" t="s">
        <v>10</v>
      </c>
      <c r="G7" s="21" t="s">
        <v>11</v>
      </c>
      <c r="H7" s="19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27.75" customHeight="1">
      <c r="A8" s="1"/>
      <c r="B8" s="23" t="s">
        <v>12</v>
      </c>
      <c r="C8" s="24" t="s">
        <v>13</v>
      </c>
      <c r="D8" s="24" t="s">
        <v>14</v>
      </c>
      <c r="E8" s="25">
        <v>3.0</v>
      </c>
      <c r="F8" s="26">
        <v>1.0</v>
      </c>
      <c r="G8" s="25">
        <v>1.0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75" customHeight="1">
      <c r="A9" s="1"/>
      <c r="B9" s="27" t="s">
        <v>15</v>
      </c>
      <c r="C9" s="28" t="s">
        <v>13</v>
      </c>
      <c r="D9" s="28" t="s">
        <v>16</v>
      </c>
      <c r="E9" s="29">
        <v>3.0</v>
      </c>
      <c r="F9" s="30">
        <v>1.0</v>
      </c>
      <c r="G9" s="29">
        <v>1.0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75" customHeight="1">
      <c r="A10" s="1"/>
      <c r="B10" s="27" t="s">
        <v>17</v>
      </c>
      <c r="C10" s="28" t="s">
        <v>13</v>
      </c>
      <c r="D10" s="28" t="s">
        <v>18</v>
      </c>
      <c r="E10" s="29">
        <v>3.0</v>
      </c>
      <c r="F10" s="30">
        <v>1.0</v>
      </c>
      <c r="G10" s="29">
        <v>1.0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75" customHeight="1">
      <c r="A11" s="1"/>
      <c r="B11" s="27"/>
      <c r="C11" s="28"/>
      <c r="D11" s="28"/>
      <c r="E11" s="29"/>
      <c r="F11" s="30"/>
      <c r="G11" s="29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75" customHeight="1">
      <c r="A12" s="1"/>
      <c r="B12" s="31"/>
      <c r="C12" s="32" t="s">
        <v>19</v>
      </c>
      <c r="D12" s="6"/>
      <c r="E12" s="6"/>
      <c r="F12" s="7"/>
      <c r="G12" s="33">
        <f>SUM(G8:G11)</f>
        <v>3</v>
      </c>
      <c r="H12" s="2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75" customHeight="1">
      <c r="A13" s="1"/>
      <c r="B13" s="20"/>
      <c r="C13" s="34"/>
      <c r="D13" s="3"/>
      <c r="E13" s="3"/>
      <c r="F13" s="3"/>
      <c r="G13" s="35"/>
      <c r="H13" s="2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75" customHeight="1">
      <c r="A14" s="1"/>
      <c r="B14" s="20"/>
      <c r="C14" s="36"/>
      <c r="D14" s="36"/>
      <c r="E14" s="37"/>
      <c r="F14" s="20"/>
      <c r="G14" s="20"/>
      <c r="H14" s="20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75" customHeight="1">
      <c r="A15" s="20" t="s">
        <v>20</v>
      </c>
      <c r="B15" s="21" t="s">
        <v>21</v>
      </c>
      <c r="C15" s="21" t="s">
        <v>22</v>
      </c>
      <c r="D15" s="22" t="s">
        <v>23</v>
      </c>
      <c r="E15" s="22" t="s">
        <v>24</v>
      </c>
      <c r="F15" s="21" t="s">
        <v>9</v>
      </c>
      <c r="G15" s="19"/>
      <c r="H15" s="1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38"/>
      <c r="U15" s="1"/>
      <c r="V15" s="1"/>
      <c r="W15" s="1"/>
      <c r="X15" s="1"/>
      <c r="Y15" s="1"/>
      <c r="Z15" s="1"/>
    </row>
    <row r="16" ht="27.75" customHeight="1">
      <c r="A16" s="1"/>
      <c r="B16" s="39" t="s">
        <v>25</v>
      </c>
      <c r="C16" s="40"/>
      <c r="D16" s="41">
        <v>4.0</v>
      </c>
      <c r="E16" s="42" t="s">
        <v>26</v>
      </c>
      <c r="F16" s="42">
        <v>10.0</v>
      </c>
      <c r="G16" s="1"/>
      <c r="H16" s="1"/>
      <c r="I16" s="1"/>
      <c r="J16" s="1"/>
      <c r="K16" s="38"/>
      <c r="L16" s="1"/>
      <c r="M16" s="1"/>
      <c r="N16" s="1"/>
      <c r="O16" s="1"/>
      <c r="P16" s="1"/>
      <c r="Q16" s="1"/>
      <c r="R16" s="1"/>
      <c r="S16" s="1"/>
      <c r="T16" s="38"/>
      <c r="U16" s="1"/>
      <c r="V16" s="1"/>
      <c r="W16" s="1"/>
      <c r="X16" s="1"/>
      <c r="Y16" s="1"/>
      <c r="Z16" s="1"/>
    </row>
    <row r="17" ht="27.75" customHeight="1">
      <c r="A17" s="1"/>
      <c r="B17" s="39" t="s">
        <v>27</v>
      </c>
      <c r="C17" s="40"/>
      <c r="D17" s="41">
        <v>4.0</v>
      </c>
      <c r="E17" s="42" t="s">
        <v>26</v>
      </c>
      <c r="F17" s="42">
        <v>10.0</v>
      </c>
      <c r="G17" s="1"/>
      <c r="H17" s="1"/>
      <c r="I17" s="1"/>
      <c r="J17" s="1"/>
      <c r="K17" s="38"/>
      <c r="L17" s="1"/>
      <c r="M17" s="1"/>
      <c r="N17" s="1"/>
      <c r="O17" s="1"/>
      <c r="P17" s="1"/>
      <c r="Q17" s="1"/>
      <c r="R17" s="1"/>
      <c r="S17" s="1"/>
      <c r="T17" s="38"/>
      <c r="U17" s="1"/>
      <c r="V17" s="1"/>
      <c r="W17" s="1"/>
      <c r="X17" s="1"/>
      <c r="Y17" s="1"/>
      <c r="Z17" s="1"/>
    </row>
    <row r="18" ht="27.75" customHeight="1">
      <c r="A18" s="1"/>
      <c r="B18" s="39"/>
      <c r="C18" s="40"/>
      <c r="D18" s="41"/>
      <c r="E18" s="42"/>
      <c r="F18" s="42"/>
      <c r="G18" s="1"/>
      <c r="H18" s="1"/>
      <c r="I18" s="1"/>
      <c r="J18" s="1"/>
      <c r="K18" s="38"/>
      <c r="L18" s="1"/>
      <c r="M18" s="1"/>
      <c r="N18" s="1"/>
      <c r="O18" s="1"/>
      <c r="P18" s="1"/>
      <c r="Q18" s="1"/>
      <c r="R18" s="1"/>
      <c r="S18" s="1"/>
      <c r="T18" s="38"/>
      <c r="U18" s="1"/>
      <c r="V18" s="1"/>
      <c r="W18" s="1"/>
      <c r="X18" s="1"/>
      <c r="Y18" s="1"/>
      <c r="Z18" s="1"/>
    </row>
    <row r="19" ht="27.75" customHeight="1">
      <c r="A19" s="1"/>
      <c r="B19" s="39"/>
      <c r="C19" s="40"/>
      <c r="D19" s="41"/>
      <c r="E19" s="42"/>
      <c r="F19" s="42"/>
      <c r="G19" s="1"/>
      <c r="H19" s="1"/>
      <c r="I19" s="1"/>
      <c r="J19" s="1"/>
      <c r="K19" s="38"/>
      <c r="L19" s="1"/>
      <c r="M19" s="1"/>
      <c r="N19" s="1"/>
      <c r="O19" s="1"/>
      <c r="P19" s="1"/>
      <c r="Q19" s="1"/>
      <c r="R19" s="1"/>
      <c r="S19" s="1"/>
      <c r="T19" s="38"/>
      <c r="U19" s="1"/>
      <c r="V19" s="1"/>
      <c r="W19" s="1"/>
      <c r="X19" s="1"/>
      <c r="Y19" s="1"/>
      <c r="Z19" s="1"/>
    </row>
    <row r="20" ht="27.75" customHeight="1">
      <c r="A20" s="1"/>
      <c r="B20" s="39"/>
      <c r="C20" s="40"/>
      <c r="D20" s="41"/>
      <c r="E20" s="42"/>
      <c r="F20" s="42"/>
      <c r="G20" s="1"/>
      <c r="H20" s="1"/>
      <c r="I20" s="1"/>
      <c r="J20" s="1"/>
      <c r="K20" s="38"/>
      <c r="L20" s="1"/>
      <c r="M20" s="1"/>
      <c r="N20" s="1"/>
      <c r="O20" s="1"/>
      <c r="P20" s="1"/>
      <c r="Q20" s="1"/>
      <c r="R20" s="1"/>
      <c r="S20" s="1"/>
      <c r="T20" s="38"/>
      <c r="U20" s="1"/>
      <c r="V20" s="1"/>
      <c r="W20" s="1"/>
      <c r="X20" s="1"/>
      <c r="Y20" s="1"/>
      <c r="Z20" s="1"/>
    </row>
    <row r="21" ht="27.75" customHeight="1">
      <c r="A21" s="1"/>
      <c r="B21" s="39"/>
      <c r="C21" s="40"/>
      <c r="D21" s="41"/>
      <c r="E21" s="42"/>
      <c r="F21" s="42"/>
      <c r="G21" s="1"/>
      <c r="H21" s="1"/>
      <c r="I21" s="1"/>
      <c r="J21" s="1"/>
      <c r="K21" s="38"/>
      <c r="L21" s="1"/>
      <c r="M21" s="1"/>
      <c r="N21" s="1"/>
      <c r="O21" s="1"/>
      <c r="P21" s="1"/>
      <c r="Q21" s="1"/>
      <c r="R21" s="1"/>
      <c r="S21" s="1"/>
      <c r="T21" s="38"/>
      <c r="U21" s="1"/>
      <c r="V21" s="1"/>
      <c r="W21" s="1"/>
      <c r="X21" s="1"/>
      <c r="Y21" s="1"/>
      <c r="Z21" s="1"/>
    </row>
    <row r="22" ht="27.75" customHeight="1">
      <c r="A22" s="1"/>
      <c r="B22" s="39"/>
      <c r="C22" s="40"/>
      <c r="D22" s="41"/>
      <c r="E22" s="42"/>
      <c r="F22" s="42"/>
      <c r="G22" s="1"/>
      <c r="H22" s="1"/>
      <c r="I22" s="1"/>
      <c r="J22" s="1"/>
      <c r="K22" s="38"/>
      <c r="L22" s="1"/>
      <c r="M22" s="1"/>
      <c r="N22" s="1"/>
      <c r="O22" s="1"/>
      <c r="P22" s="1"/>
      <c r="Q22" s="1"/>
      <c r="R22" s="1"/>
      <c r="S22" s="1"/>
      <c r="T22" s="38"/>
      <c r="U22" s="1"/>
      <c r="V22" s="1"/>
      <c r="W22" s="1"/>
      <c r="X22" s="1"/>
      <c r="Y22" s="1"/>
      <c r="Z22" s="1"/>
    </row>
    <row r="23" ht="27.75" customHeight="1">
      <c r="A23" s="1"/>
      <c r="B23" s="39"/>
      <c r="C23" s="40"/>
      <c r="D23" s="41"/>
      <c r="E23" s="42"/>
      <c r="F23" s="42"/>
      <c r="G23" s="1"/>
      <c r="H23" s="1"/>
      <c r="I23" s="1"/>
      <c r="J23" s="1"/>
      <c r="K23" s="38"/>
      <c r="L23" s="1"/>
      <c r="M23" s="1"/>
      <c r="N23" s="1"/>
      <c r="O23" s="1"/>
      <c r="P23" s="1"/>
      <c r="Q23" s="1"/>
      <c r="R23" s="1"/>
      <c r="S23" s="1"/>
      <c r="T23" s="38"/>
      <c r="U23" s="1"/>
      <c r="V23" s="1"/>
      <c r="W23" s="1"/>
      <c r="X23" s="1"/>
      <c r="Y23" s="1"/>
      <c r="Z23" s="1"/>
    </row>
    <row r="24" ht="27.75" customHeight="1">
      <c r="A24" s="1"/>
      <c r="B24" s="39"/>
      <c r="C24" s="40"/>
      <c r="D24" s="41"/>
      <c r="E24" s="42"/>
      <c r="F24" s="42"/>
      <c r="G24" s="1"/>
      <c r="H24" s="1"/>
      <c r="I24" s="1"/>
      <c r="J24" s="1"/>
      <c r="K24" s="38"/>
      <c r="L24" s="1"/>
      <c r="M24" s="1"/>
      <c r="N24" s="1"/>
      <c r="O24" s="1"/>
      <c r="P24" s="1"/>
      <c r="Q24" s="1"/>
      <c r="R24" s="1"/>
      <c r="S24" s="1"/>
      <c r="T24" s="38"/>
      <c r="U24" s="1"/>
      <c r="V24" s="1"/>
      <c r="W24" s="1"/>
      <c r="X24" s="1"/>
      <c r="Y24" s="1"/>
      <c r="Z24" s="1"/>
    </row>
    <row r="25" ht="27.75" customHeight="1">
      <c r="A25" s="1"/>
      <c r="B25" s="44"/>
      <c r="C25" s="45" t="s">
        <v>28</v>
      </c>
      <c r="D25" s="46"/>
      <c r="E25" s="47"/>
      <c r="F25" s="48">
        <f>SUM(F16:F24)</f>
        <v>20</v>
      </c>
      <c r="G25" s="1"/>
      <c r="H25" s="20"/>
      <c r="I25" s="1"/>
      <c r="J25" s="1"/>
      <c r="K25" s="38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75" customHeight="1">
      <c r="A26" s="1"/>
      <c r="B26" s="1"/>
      <c r="C26" s="1"/>
      <c r="D26" s="2"/>
      <c r="E26" s="3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75" customHeight="1">
      <c r="A27" s="1"/>
      <c r="B27" s="1"/>
      <c r="C27" s="1"/>
      <c r="D27" s="2"/>
      <c r="E27" s="3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75" customHeight="1">
      <c r="A28" s="20" t="s">
        <v>29</v>
      </c>
      <c r="B28" s="49"/>
      <c r="C28" s="32" t="s">
        <v>169</v>
      </c>
      <c r="D28" s="6"/>
      <c r="E28" s="7"/>
      <c r="F28" s="33">
        <f>G12+F25</f>
        <v>23</v>
      </c>
      <c r="G28" s="1"/>
      <c r="H28" s="20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75" customHeight="1">
      <c r="A29" s="1"/>
      <c r="B29" s="1"/>
      <c r="C29" s="1"/>
      <c r="D29" s="2"/>
      <c r="E29" s="3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75" customHeight="1">
      <c r="A30" s="1"/>
      <c r="B30" s="3"/>
      <c r="C30" s="1"/>
      <c r="D30" s="2"/>
      <c r="E30" s="3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75" customHeight="1">
      <c r="A31" s="20" t="s">
        <v>31</v>
      </c>
      <c r="B31" s="22" t="s">
        <v>32</v>
      </c>
      <c r="C31" s="22" t="s">
        <v>33</v>
      </c>
      <c r="D31" s="21" t="s">
        <v>34</v>
      </c>
      <c r="E31" s="21" t="s">
        <v>9</v>
      </c>
      <c r="F31" s="21" t="s">
        <v>35</v>
      </c>
      <c r="G31" s="21" t="s">
        <v>36</v>
      </c>
      <c r="H31" s="1" t="s">
        <v>37</v>
      </c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27.75" customHeight="1">
      <c r="A32" s="1"/>
      <c r="B32" s="50" t="s">
        <v>38</v>
      </c>
      <c r="C32" s="50" t="s">
        <v>39</v>
      </c>
      <c r="D32" s="23" t="s">
        <v>40</v>
      </c>
      <c r="E32" s="51">
        <v>2.0</v>
      </c>
      <c r="F32" s="26">
        <v>0.0</v>
      </c>
      <c r="G32" s="51">
        <v>0.0</v>
      </c>
      <c r="H32" s="52" t="s">
        <v>41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50" t="s">
        <v>42</v>
      </c>
      <c r="C33" s="50" t="s">
        <v>39</v>
      </c>
      <c r="D33" s="27" t="s">
        <v>43</v>
      </c>
      <c r="E33" s="53">
        <v>2.0</v>
      </c>
      <c r="F33" s="30">
        <v>5.0</v>
      </c>
      <c r="G33" s="53">
        <v>10.0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75" customHeight="1">
      <c r="A34" s="1"/>
      <c r="B34" s="50" t="s">
        <v>44</v>
      </c>
      <c r="C34" s="50" t="s">
        <v>39</v>
      </c>
      <c r="D34" s="54"/>
      <c r="E34" s="53">
        <v>1.0</v>
      </c>
      <c r="F34" s="30">
        <v>4.0</v>
      </c>
      <c r="G34" s="53">
        <v>4.0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50" t="s">
        <v>45</v>
      </c>
      <c r="C35" s="50" t="s">
        <v>39</v>
      </c>
      <c r="D35" s="27" t="s">
        <v>46</v>
      </c>
      <c r="E35" s="53">
        <v>1.0</v>
      </c>
      <c r="F35" s="30">
        <v>4.0</v>
      </c>
      <c r="G35" s="53">
        <v>4.0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75" customHeight="1">
      <c r="A36" s="1"/>
      <c r="B36" s="50" t="s">
        <v>47</v>
      </c>
      <c r="C36" s="50" t="s">
        <v>39</v>
      </c>
      <c r="D36" s="27" t="s">
        <v>48</v>
      </c>
      <c r="E36" s="53">
        <v>1.0</v>
      </c>
      <c r="F36" s="30">
        <v>0.0</v>
      </c>
      <c r="G36" s="53">
        <v>0.0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75" customHeight="1">
      <c r="A37" s="1"/>
      <c r="B37" s="50" t="s">
        <v>49</v>
      </c>
      <c r="C37" s="50" t="s">
        <v>39</v>
      </c>
      <c r="D37" s="27" t="s">
        <v>50</v>
      </c>
      <c r="E37" s="53">
        <v>0.5</v>
      </c>
      <c r="F37" s="30">
        <v>5.0</v>
      </c>
      <c r="G37" s="53">
        <v>2.5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75" customHeight="1">
      <c r="A38" s="1"/>
      <c r="B38" s="50" t="s">
        <v>51</v>
      </c>
      <c r="C38" s="50" t="s">
        <v>39</v>
      </c>
      <c r="D38" s="27" t="s">
        <v>52</v>
      </c>
      <c r="E38" s="53">
        <v>0.5</v>
      </c>
      <c r="F38" s="30">
        <v>5.0</v>
      </c>
      <c r="G38" s="53">
        <v>2.5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75" customHeight="1">
      <c r="A39" s="1"/>
      <c r="B39" s="50" t="s">
        <v>53</v>
      </c>
      <c r="C39" s="50" t="s">
        <v>39</v>
      </c>
      <c r="D39" s="27" t="s">
        <v>54</v>
      </c>
      <c r="E39" s="53">
        <v>2.0</v>
      </c>
      <c r="F39" s="30">
        <v>3.0</v>
      </c>
      <c r="G39" s="53">
        <v>6.0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75" customHeight="1">
      <c r="A40" s="1"/>
      <c r="B40" s="50" t="s">
        <v>55</v>
      </c>
      <c r="C40" s="50" t="s">
        <v>39</v>
      </c>
      <c r="D40" s="27" t="s">
        <v>56</v>
      </c>
      <c r="E40" s="53">
        <v>1.0</v>
      </c>
      <c r="F40" s="30">
        <v>1.0</v>
      </c>
      <c r="G40" s="53">
        <v>1.0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75" customHeight="1">
      <c r="A41" s="1"/>
      <c r="B41" s="50" t="s">
        <v>57</v>
      </c>
      <c r="C41" s="50" t="s">
        <v>39</v>
      </c>
      <c r="D41" s="27" t="s">
        <v>58</v>
      </c>
      <c r="E41" s="53">
        <v>1.0</v>
      </c>
      <c r="F41" s="30">
        <v>5.0</v>
      </c>
      <c r="G41" s="53">
        <v>5.0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50" t="s">
        <v>59</v>
      </c>
      <c r="C42" s="50" t="s">
        <v>39</v>
      </c>
      <c r="D42" s="27" t="s">
        <v>60</v>
      </c>
      <c r="E42" s="53">
        <v>1.0</v>
      </c>
      <c r="F42" s="30">
        <v>5.0</v>
      </c>
      <c r="G42" s="53">
        <v>5.0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50" t="s">
        <v>61</v>
      </c>
      <c r="C43" s="50" t="s">
        <v>39</v>
      </c>
      <c r="D43" s="27" t="s">
        <v>62</v>
      </c>
      <c r="E43" s="53">
        <v>1.0</v>
      </c>
      <c r="F43" s="30">
        <v>4.0</v>
      </c>
      <c r="G43" s="53">
        <v>4.0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50" t="s">
        <v>63</v>
      </c>
      <c r="C44" s="50" t="s">
        <v>39</v>
      </c>
      <c r="D44" s="27" t="s">
        <v>64</v>
      </c>
      <c r="E44" s="53">
        <v>1.0</v>
      </c>
      <c r="F44" s="30">
        <v>3.0</v>
      </c>
      <c r="G44" s="53">
        <v>3.0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75" customHeight="1">
      <c r="A45" s="1"/>
      <c r="B45" s="32" t="s">
        <v>170</v>
      </c>
      <c r="C45" s="6"/>
      <c r="D45" s="6"/>
      <c r="E45" s="6"/>
      <c r="F45" s="7"/>
      <c r="G45" s="55">
        <f>SUM(G32:G44)</f>
        <v>47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75" customHeight="1">
      <c r="A46" s="1"/>
      <c r="B46" s="32" t="s">
        <v>171</v>
      </c>
      <c r="C46" s="6"/>
      <c r="D46" s="6"/>
      <c r="E46" s="6"/>
      <c r="F46" s="7"/>
      <c r="G46" s="48">
        <f>0.6+(0.01*G45)</f>
        <v>1.07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75" customHeight="1">
      <c r="A47" s="1"/>
      <c r="B47" s="34"/>
      <c r="C47" s="3"/>
      <c r="D47" s="3"/>
      <c r="E47" s="3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75" customHeight="1">
      <c r="A48" s="1"/>
      <c r="B48" s="56"/>
      <c r="C48" s="56"/>
      <c r="D48" s="57"/>
      <c r="E48" s="56"/>
      <c r="F48" s="56"/>
      <c r="G48" s="56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20" t="s">
        <v>67</v>
      </c>
      <c r="B49" s="22" t="s">
        <v>68</v>
      </c>
      <c r="C49" s="22" t="s">
        <v>69</v>
      </c>
      <c r="D49" s="21" t="s">
        <v>70</v>
      </c>
      <c r="E49" s="21" t="s">
        <v>9</v>
      </c>
      <c r="F49" s="21" t="s">
        <v>35</v>
      </c>
      <c r="G49" s="21" t="s">
        <v>36</v>
      </c>
      <c r="H49" s="1" t="s">
        <v>71</v>
      </c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5.75" customHeight="1">
      <c r="A50" s="1"/>
      <c r="B50" s="58" t="s">
        <v>72</v>
      </c>
      <c r="C50" s="50" t="s">
        <v>73</v>
      </c>
      <c r="D50" s="23" t="s">
        <v>172</v>
      </c>
      <c r="E50" s="51" t="s">
        <v>75</v>
      </c>
      <c r="F50" s="26">
        <v>2.0</v>
      </c>
      <c r="G50" s="51">
        <v>3.0</v>
      </c>
      <c r="H50" s="52" t="s">
        <v>41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58" t="s">
        <v>77</v>
      </c>
      <c r="C51" s="50" t="s">
        <v>73</v>
      </c>
      <c r="D51" s="27" t="s">
        <v>172</v>
      </c>
      <c r="E51" s="53" t="s">
        <v>79</v>
      </c>
      <c r="F51" s="30">
        <v>2.0</v>
      </c>
      <c r="G51" s="53">
        <v>1.0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58" t="s">
        <v>80</v>
      </c>
      <c r="C52" s="50" t="s">
        <v>73</v>
      </c>
      <c r="D52" s="27" t="s">
        <v>172</v>
      </c>
      <c r="E52" s="53">
        <v>1.0</v>
      </c>
      <c r="F52" s="30">
        <v>2.0</v>
      </c>
      <c r="G52" s="53">
        <v>2.0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58" t="s">
        <v>82</v>
      </c>
      <c r="C53" s="50" t="s">
        <v>73</v>
      </c>
      <c r="D53" s="27" t="s">
        <v>173</v>
      </c>
      <c r="E53" s="53" t="s">
        <v>79</v>
      </c>
      <c r="F53" s="30">
        <v>3.0</v>
      </c>
      <c r="G53" s="53" t="s">
        <v>75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75" customHeight="1">
      <c r="A54" s="1"/>
      <c r="B54" s="58" t="s">
        <v>84</v>
      </c>
      <c r="C54" s="50" t="s">
        <v>85</v>
      </c>
      <c r="D54" s="27" t="s">
        <v>174</v>
      </c>
      <c r="E54" s="53">
        <v>1.0</v>
      </c>
      <c r="F54" s="30">
        <v>0.0</v>
      </c>
      <c r="G54" s="53">
        <v>0.0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58" t="s">
        <v>87</v>
      </c>
      <c r="C55" s="50" t="s">
        <v>88</v>
      </c>
      <c r="D55" s="27" t="s">
        <v>175</v>
      </c>
      <c r="E55" s="53">
        <v>2.0</v>
      </c>
      <c r="F55" s="30">
        <v>3.0</v>
      </c>
      <c r="G55" s="53">
        <v>6.0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58" t="s">
        <v>90</v>
      </c>
      <c r="C56" s="50" t="s">
        <v>91</v>
      </c>
      <c r="D56" s="27" t="s">
        <v>176</v>
      </c>
      <c r="E56" s="53">
        <v>-1.0</v>
      </c>
      <c r="F56" s="30">
        <v>3.0</v>
      </c>
      <c r="G56" s="53">
        <v>-3.0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58" t="s">
        <v>93</v>
      </c>
      <c r="C57" s="50" t="s">
        <v>94</v>
      </c>
      <c r="D57" s="27" t="s">
        <v>177</v>
      </c>
      <c r="E57" s="53">
        <v>-1.0</v>
      </c>
      <c r="F57" s="30">
        <v>5.0</v>
      </c>
      <c r="G57" s="53">
        <v>-5.0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75" customHeight="1">
      <c r="A58" s="1"/>
      <c r="B58" s="32" t="s">
        <v>96</v>
      </c>
      <c r="C58" s="6"/>
      <c r="D58" s="6"/>
      <c r="E58" s="6"/>
      <c r="F58" s="7"/>
      <c r="G58" s="21">
        <f>SUM(G50:G57)</f>
        <v>4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75" customHeight="1">
      <c r="A59" s="1"/>
      <c r="B59" s="32" t="s">
        <v>178</v>
      </c>
      <c r="C59" s="6"/>
      <c r="D59" s="6"/>
      <c r="E59" s="6"/>
      <c r="F59" s="7"/>
      <c r="G59" s="21">
        <f>1.4 + (-0.03*G58)</f>
        <v>1.28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75" customHeight="1">
      <c r="A60" s="1"/>
      <c r="B60" s="32"/>
      <c r="C60" s="59"/>
      <c r="D60" s="60"/>
      <c r="E60" s="59"/>
      <c r="F60" s="61" t="s">
        <v>98</v>
      </c>
      <c r="G60" s="21">
        <f>COUNTIF($F$50:$F$55,"&lt;3")+COUNTIF($F$56:$F$57,"&gt;3")</f>
        <v>5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75" customHeight="1">
      <c r="A61" s="1"/>
      <c r="B61" s="34"/>
      <c r="C61" s="3"/>
      <c r="D61" s="3"/>
      <c r="E61" s="3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75" customHeight="1">
      <c r="A62" s="1"/>
      <c r="B62" s="1"/>
      <c r="C62" s="1"/>
      <c r="D62" s="2"/>
      <c r="E62" s="3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75" customHeight="1">
      <c r="A63" s="20" t="s">
        <v>99</v>
      </c>
      <c r="B63" s="62" t="s">
        <v>179</v>
      </c>
      <c r="C63" s="6"/>
      <c r="D63" s="6"/>
      <c r="E63" s="6"/>
      <c r="F63" s="7"/>
      <c r="G63" s="63">
        <f>F28*G46*G59</f>
        <v>31.5008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75" customHeight="1">
      <c r="A64" s="1"/>
      <c r="B64" s="1"/>
      <c r="C64" s="1"/>
      <c r="D64" s="2"/>
      <c r="E64" s="3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75" customHeight="1">
      <c r="A65" s="1"/>
      <c r="B65" s="1"/>
      <c r="C65" s="1"/>
      <c r="D65" s="2"/>
      <c r="E65" s="3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64" t="s">
        <v>101</v>
      </c>
      <c r="B66" s="22" t="s">
        <v>102</v>
      </c>
      <c r="C66" s="22" t="s">
        <v>103</v>
      </c>
      <c r="D66" s="22" t="s">
        <v>104</v>
      </c>
      <c r="E66" s="3"/>
      <c r="F66" s="1"/>
      <c r="G66" s="22" t="s">
        <v>105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75" customHeight="1">
      <c r="A67" s="1"/>
      <c r="B67" s="65">
        <v>20.0</v>
      </c>
      <c r="C67" s="65">
        <f>IF($G$60&gt;=5,36,IF(AND(G$60&gt;2,$G$60&lt;=4),28, IF(AND($G$60&gt;=0,$G$60&lt;=2),20,"error")))</f>
        <v>36</v>
      </c>
      <c r="D67" s="66">
        <f>IF($G$60&gt;=5,$G$67*(36/20),IF(AND($G$60&gt;2,$G$60&lt;=4),$G$67*(28/20), IF(AND($G$60&gt;=0,$G$60&lt;=2),$G$67,"error")))</f>
        <v>3.6</v>
      </c>
      <c r="E67" s="3"/>
      <c r="F67" s="1"/>
      <c r="G67" s="67">
        <v>2.0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1"/>
      <c r="B68" s="68" t="s">
        <v>106</v>
      </c>
      <c r="C68" s="6"/>
      <c r="D68" s="7"/>
      <c r="E68" s="3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75" customHeight="1">
      <c r="A69" s="69" t="s">
        <v>107</v>
      </c>
      <c r="B69" s="65">
        <f t="shared" ref="B69:D69" si="1">$G$63*B67</f>
        <v>630.016</v>
      </c>
      <c r="C69" s="65">
        <f t="shared" si="1"/>
        <v>1134.0288</v>
      </c>
      <c r="D69" s="65">
        <f t="shared" si="1"/>
        <v>113.40288</v>
      </c>
      <c r="E69" s="3"/>
      <c r="F69" s="1"/>
      <c r="G69" s="22" t="s">
        <v>108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A70" s="69" t="s">
        <v>109</v>
      </c>
      <c r="B70" s="70">
        <f>B69/(22*G70)</f>
        <v>14.31854545</v>
      </c>
      <c r="C70" s="70">
        <f>C69/(22*G70)</f>
        <v>25.77338182</v>
      </c>
      <c r="D70" s="71">
        <f>D69/(22*G70)</f>
        <v>2.577338182</v>
      </c>
      <c r="E70" s="3"/>
      <c r="F70" s="1"/>
      <c r="G70" s="67">
        <v>2.0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A71" s="1"/>
      <c r="B71" s="1"/>
      <c r="C71" s="1"/>
      <c r="D71" s="2"/>
      <c r="E71" s="3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75" customHeight="1">
      <c r="A72" s="1"/>
      <c r="B72" s="1"/>
      <c r="C72" s="1"/>
      <c r="D72" s="2"/>
      <c r="E72" s="3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75" customHeight="1">
      <c r="A73" s="20" t="s">
        <v>110</v>
      </c>
      <c r="B73" s="72" t="s">
        <v>111</v>
      </c>
      <c r="C73" s="73"/>
      <c r="D73" s="60"/>
      <c r="E73" s="59"/>
      <c r="F73" s="74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75" customHeight="1">
      <c r="A74" s="1"/>
      <c r="B74" s="49" t="s">
        <v>112</v>
      </c>
      <c r="C74" s="21" t="s">
        <v>113</v>
      </c>
      <c r="D74" s="63" t="s">
        <v>114</v>
      </c>
      <c r="E74" s="63" t="s">
        <v>115</v>
      </c>
      <c r="F74" s="63" t="s">
        <v>116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75" customHeight="1">
      <c r="A75" s="1"/>
      <c r="B75" s="75" t="s">
        <v>117</v>
      </c>
      <c r="C75" s="76">
        <v>0.4</v>
      </c>
      <c r="D75" s="70">
        <f t="shared" ref="D75:F75" si="2">+B69</f>
        <v>630.016</v>
      </c>
      <c r="E75" s="70">
        <f t="shared" si="2"/>
        <v>1134.0288</v>
      </c>
      <c r="F75" s="70">
        <f t="shared" si="2"/>
        <v>113.40288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75" customHeight="1">
      <c r="A76" s="1"/>
      <c r="B76" s="75" t="s">
        <v>118</v>
      </c>
      <c r="C76" s="76">
        <f>1-C75</f>
        <v>0.6</v>
      </c>
      <c r="D76" s="65">
        <f t="shared" ref="D76:F76" si="3">+D75*1.5</f>
        <v>945.024</v>
      </c>
      <c r="E76" s="65">
        <f t="shared" si="3"/>
        <v>1701.0432</v>
      </c>
      <c r="F76" s="65">
        <f t="shared" si="3"/>
        <v>170.10432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1"/>
      <c r="B77" s="77"/>
      <c r="C77" s="76">
        <f>SUM(C75:C76)</f>
        <v>1</v>
      </c>
      <c r="D77" s="70">
        <f t="shared" ref="D77:F77" si="4">+D75+D76</f>
        <v>1575.04</v>
      </c>
      <c r="E77" s="70">
        <f t="shared" si="4"/>
        <v>2835.072</v>
      </c>
      <c r="F77" s="70">
        <f t="shared" si="4"/>
        <v>283.5072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1"/>
      <c r="B78" s="1"/>
      <c r="C78" s="1"/>
      <c r="D78" s="1"/>
      <c r="E78" s="3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75" customHeight="1">
      <c r="A79" s="20" t="s">
        <v>119</v>
      </c>
      <c r="B79" s="72" t="s">
        <v>120</v>
      </c>
      <c r="C79" s="73"/>
      <c r="D79" s="60"/>
      <c r="E79" s="59"/>
      <c r="F79" s="74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75" customHeight="1">
      <c r="A80" s="1"/>
      <c r="B80" s="49" t="s">
        <v>112</v>
      </c>
      <c r="C80" s="21" t="s">
        <v>113</v>
      </c>
      <c r="D80" s="63" t="s">
        <v>121</v>
      </c>
      <c r="E80" s="63" t="s">
        <v>122</v>
      </c>
      <c r="F80" s="63" t="s">
        <v>123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75" customHeight="1">
      <c r="A81" s="1"/>
      <c r="B81" s="75" t="s">
        <v>117</v>
      </c>
      <c r="C81" s="76">
        <v>0.4</v>
      </c>
      <c r="D81" s="70">
        <f t="shared" ref="D81:F81" si="5">$C81/$C$81*B$70</f>
        <v>14.31854545</v>
      </c>
      <c r="E81" s="70">
        <f t="shared" si="5"/>
        <v>25.77338182</v>
      </c>
      <c r="F81" s="70">
        <f t="shared" si="5"/>
        <v>2.577338182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75" customHeight="1">
      <c r="A82" s="1"/>
      <c r="B82" s="75" t="s">
        <v>118</v>
      </c>
      <c r="C82" s="76">
        <f>1-C81</f>
        <v>0.6</v>
      </c>
      <c r="D82" s="65">
        <f t="shared" ref="D82:F82" si="6">$C82/$C$81*B$70</f>
        <v>21.47781818</v>
      </c>
      <c r="E82" s="65">
        <f t="shared" si="6"/>
        <v>38.66007273</v>
      </c>
      <c r="F82" s="65">
        <f t="shared" si="6"/>
        <v>3.866007273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75" customHeight="1">
      <c r="A83" s="1"/>
      <c r="B83" s="77"/>
      <c r="C83" s="76">
        <f>SUM(C81:C82)</f>
        <v>1</v>
      </c>
      <c r="D83" s="70">
        <f t="shared" ref="D83:F83" si="7">$C83/$C$81*B$70</f>
        <v>35.79636364</v>
      </c>
      <c r="E83" s="70">
        <f t="shared" si="7"/>
        <v>64.43345455</v>
      </c>
      <c r="F83" s="70">
        <f t="shared" si="7"/>
        <v>6.443345455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75" customHeight="1">
      <c r="A84" s="1"/>
      <c r="B84" s="1"/>
      <c r="C84" s="1"/>
      <c r="D84" s="2"/>
      <c r="E84" s="3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75" customHeight="1">
      <c r="A85" s="20" t="s">
        <v>124</v>
      </c>
      <c r="B85" s="78">
        <v>5.0</v>
      </c>
      <c r="C85" s="1"/>
      <c r="D85" s="2"/>
      <c r="E85" s="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75" customHeight="1">
      <c r="A86" s="1"/>
      <c r="B86" s="1"/>
      <c r="C86" s="1"/>
      <c r="D86" s="2"/>
      <c r="E86" s="3"/>
      <c r="F86" s="1"/>
      <c r="G86" s="1"/>
      <c r="H86" s="105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75" customHeight="1">
      <c r="A87" s="20" t="s">
        <v>125</v>
      </c>
      <c r="B87" s="63" t="s">
        <v>126</v>
      </c>
      <c r="C87" s="63" t="s">
        <v>127</v>
      </c>
      <c r="D87" s="63" t="s">
        <v>128</v>
      </c>
      <c r="E87" s="3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75" customHeight="1">
      <c r="A88" s="79"/>
      <c r="B88" s="80">
        <f>$D$83/$B$85</f>
        <v>7.159272727</v>
      </c>
      <c r="C88" s="80">
        <f>$E$83/$B$85</f>
        <v>12.88669091</v>
      </c>
      <c r="D88" s="80">
        <f>$F$83/$B$85</f>
        <v>1.288669091</v>
      </c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</row>
    <row r="89" ht="15.75" customHeight="1">
      <c r="A89" s="79"/>
      <c r="B89" s="79"/>
      <c r="C89" s="79"/>
      <c r="D89" s="79"/>
      <c r="E89" s="81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</row>
    <row r="90" ht="15.75" customHeight="1">
      <c r="A90" s="79"/>
      <c r="B90" s="79"/>
      <c r="C90" s="79"/>
      <c r="D90" s="79"/>
      <c r="E90" s="81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</row>
    <row r="91" ht="15.75" customHeight="1">
      <c r="A91" s="79"/>
      <c r="B91" s="79"/>
      <c r="C91" s="79"/>
      <c r="D91" s="79"/>
      <c r="E91" s="81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</row>
    <row r="92" ht="15.75" customHeight="1">
      <c r="A92" s="79"/>
      <c r="B92" s="79"/>
      <c r="C92" s="79"/>
      <c r="D92" s="79"/>
      <c r="E92" s="81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</row>
    <row r="93" ht="15.75" customHeight="1">
      <c r="A93" s="79"/>
      <c r="B93" s="79"/>
      <c r="C93" s="79"/>
      <c r="D93" s="79"/>
      <c r="E93" s="81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</row>
    <row r="94" ht="15.75" customHeight="1">
      <c r="A94" s="79"/>
      <c r="B94" s="79"/>
      <c r="C94" s="79"/>
      <c r="D94" s="79"/>
      <c r="E94" s="81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</row>
    <row r="95" ht="15.75" customHeight="1">
      <c r="A95" s="79"/>
      <c r="B95" s="79"/>
      <c r="C95" s="79"/>
      <c r="D95" s="79"/>
      <c r="E95" s="81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 ht="15.75" customHeight="1">
      <c r="A96" s="79"/>
      <c r="B96" s="79"/>
      <c r="C96" s="79"/>
      <c r="D96" s="79"/>
      <c r="E96" s="81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</row>
    <row r="97" ht="15.75" customHeight="1">
      <c r="A97" s="79"/>
      <c r="B97" s="79"/>
      <c r="C97" s="79"/>
      <c r="D97" s="79"/>
      <c r="E97" s="81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 ht="15.75" customHeight="1">
      <c r="A98" s="79"/>
      <c r="B98" s="79"/>
      <c r="C98" s="79"/>
      <c r="D98" s="79"/>
      <c r="E98" s="81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 ht="15.75" customHeight="1">
      <c r="A99" s="79"/>
      <c r="B99" s="79"/>
      <c r="C99" s="79"/>
      <c r="D99" s="79"/>
      <c r="E99" s="81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 ht="15.75" customHeight="1">
      <c r="A100" s="79"/>
      <c r="B100" s="79"/>
      <c r="C100" s="79"/>
      <c r="D100" s="79"/>
      <c r="E100" s="81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  <row r="101" ht="15.75" customHeight="1">
      <c r="A101" s="79"/>
      <c r="B101" s="79"/>
      <c r="C101" s="79"/>
      <c r="D101" s="79"/>
      <c r="E101" s="81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 ht="15.75" customHeight="1">
      <c r="A102" s="79"/>
      <c r="B102" s="79"/>
      <c r="C102" s="79"/>
      <c r="D102" s="79"/>
      <c r="E102" s="81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 ht="15.75" customHeight="1">
      <c r="A103" s="79"/>
      <c r="B103" s="79"/>
      <c r="C103" s="79"/>
      <c r="D103" s="79"/>
      <c r="E103" s="81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 ht="15.75" customHeight="1">
      <c r="A104" s="79"/>
      <c r="B104" s="79"/>
      <c r="C104" s="79"/>
      <c r="D104" s="79"/>
      <c r="E104" s="81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</row>
    <row r="105" ht="15.75" customHeight="1">
      <c r="A105" s="1"/>
      <c r="B105" s="1"/>
      <c r="C105" s="1"/>
      <c r="D105" s="2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2"/>
      <c r="E106" s="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2"/>
      <c r="E107" s="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2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2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2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2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2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2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2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2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2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2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2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2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2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2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2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2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2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2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2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2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2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2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2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2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2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2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2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2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2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2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2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2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2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2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2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2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2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2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2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2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2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2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2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2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2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2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2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2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2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2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2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2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2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2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2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2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2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2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2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2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2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2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2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2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2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2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2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2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2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2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2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2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2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2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2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2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2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2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2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2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2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2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2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2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2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2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2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2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2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2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2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2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2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2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2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2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2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2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2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2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2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2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2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2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2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2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2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2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2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2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2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2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2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2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2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2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2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2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2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2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2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2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2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2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2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2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2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2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2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2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2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2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2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2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2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2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2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2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2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2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2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2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2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2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2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2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2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2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2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2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2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2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2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2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2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2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2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2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2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2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2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2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2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2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2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2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2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2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2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2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2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2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2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2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2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2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2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2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2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2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2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0">
    <mergeCell ref="B59:F59"/>
    <mergeCell ref="B63:F63"/>
    <mergeCell ref="B68:D68"/>
    <mergeCell ref="B2:G2"/>
    <mergeCell ref="C12:F12"/>
    <mergeCell ref="C25:E25"/>
    <mergeCell ref="C28:E28"/>
    <mergeCell ref="B45:F45"/>
    <mergeCell ref="B46:F46"/>
    <mergeCell ref="B58:F58"/>
  </mergeCells>
  <dataValidations>
    <dataValidation type="decimal" allowBlank="1" showInputMessage="1" showErrorMessage="1" prompt="Entre 1 y 9 personas." sqref="B85">
      <formula1>1.0</formula1>
      <formula2>9.0</formula2>
    </dataValidation>
  </dataValidations>
  <hyperlinks>
    <hyperlink r:id="rId2" location="v=onepage&amp;q=e7%20part-time%20members&amp;f=false" ref="H32"/>
    <hyperlink r:id="rId3" location="v=onepage&amp;q=e7%20part-time%20members&amp;f=false" ref="H50"/>
  </hyperlinks>
  <printOptions/>
  <pageMargins bottom="1.0" footer="0.0" header="0.0" left="0.75" right="0.75" top="1.0"/>
  <pageSetup orientation="portrait"/>
  <drawing r:id="rId4"/>
  <legacy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2021-09-16T15:20:38Z</dcterms:created>
  <dc:creator>Valeria Centurión</dc:creator>
</cp:coreProperties>
</file>