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4"/>
  </sheets>
  <definedNames>
    <definedName localSheetId="0" name="solver_eng">1</definedName>
    <definedName localSheetId="0" name="solver_neg">1</definedName>
    <definedName localSheetId="0" name="solver_num">0</definedName>
    <definedName localSheetId="0" name="solver_typ">1</definedName>
    <definedName localSheetId="0" name="solver_val">0</definedName>
    <definedName localSheetId="0" name="solver_ver">3</definedName>
    <definedName localSheetId="0" name="solver_opt">Plantilla!$D$72</definedName>
  </definedNames>
  <calcPr/>
  <extLst>
    <ext uri="GoogleSheetsCustomDataVersion2">
      <go:sheetsCustomData xmlns:go="http://customooxmlschemas.google.com/" r:id="rId5" roundtripDataChecksum="GwUNWPirm4WaZv17h2o39ibFbRngnOqsPZEDwkgylF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6">
      <text>
        <t xml:space="preserve">======
ID#AAABrntIk4A
Autor    (2023-08-29 20:18:46)
¿Hace falta consideraciones especiales para el acceso concurrente (paralelo) a datos y otros recursos?</t>
      </text>
    </comment>
    <comment authorId="0" ref="B57">
      <text>
        <t xml:space="preserve">======
ID#AAABrntIk4I
Autor    (2023-08-29 20:18:46)
Se refiere exclusivamente a la experiencia en el análisis, modelado, diseño y progrmación  mediante el paradigma de OO.</t>
      </text>
    </comment>
    <comment authorId="0" ref="B58">
      <text>
        <t xml:space="preserve">======
ID#AAABrntIk4E
Autor    (2023-08-29 20:18:46)
Se refiere a la experiencia en el análisis de requerimientos y modelado orientado a objetos del Analista Principal.</t>
      </text>
    </comment>
    <comment authorId="0" ref="B81">
      <text>
        <t xml:space="preserve">======
ID#AAABrntIk4Q
Autor    (2023-08-29 20:18:46)
Análisis/Diseño/Pruebas/Sobrecarga</t>
      </text>
    </comment>
    <comment authorId="0" ref="B61">
      <text>
        <t xml:space="preserve">======
ID#AAABrntIk30
Autor    (2023-08-29 20:18:46)
Este es un factor con signo opuesto a los factores E6 y anteriores. Cuanto mayor la evaluación, peor el resultado.</t>
      </text>
    </comment>
    <comment authorId="0" ref="C15">
      <text>
        <t xml:space="preserve">======
ID#AAABrntIk4M
Ejemplo    (2023-08-29 20:18:46)
contar transacciones
Flujo.Ppal.: transacciones 1, 2, 3, 4. 
Flujo Alt.: 0 transaccioines. 
Excepciones.: N/A -&gt; 0 transacciones
-&gt; suma = 4 transacciones</t>
      </text>
    </comment>
    <comment authorId="0" ref="B55">
      <text>
        <t xml:space="preserve">======
ID#AAABrntIk3w
Autor    (2023-08-29 20:18:46)
Debe reflejar el hecho de que el equipo conoce el proceso y el lenguaje de modelado (p.ej.: RUP, UML). Puede ser cualquier otro proceso.</t>
      </text>
    </comment>
    <comment authorId="0" ref="B59">
      <text>
        <t xml:space="preserve">======
ID#AAABrntIk4Y
Autor    (2023-08-29 20:18:46)
Motivación del equipo.</t>
      </text>
    </comment>
    <comment authorId="0" ref="B84">
      <text>
        <t xml:space="preserve">======
ID#AAABrntIk38
Autor    (2023-08-29 20:18:46)
Lo debe sugerir el estimador.</t>
      </text>
    </comment>
    <comment authorId="0" ref="B42">
      <text>
        <t xml:space="preserve">======
ID#AAABrntIk4U
Autor    (2023-08-29 20:18:46)
¿La aplicación debe ser de fácil instalación (para usuarios sin capacidad técnica) o no?</t>
      </text>
    </comment>
    <comment authorId="0" ref="B39">
      <text>
        <t xml:space="preserve">======
ID#AAABrntIk34
Autor    (2023-08-29 20:18:46)
¿La aplicacion está diseñada para que el usuario incremente SU eficiencia (no solo cumpla su cometido)?</t>
      </text>
    </comment>
    <comment authorId="0" ref="B62">
      <text>
        <t xml:space="preserve">======
ID#AAABrntIk5A
Autor    (2023-08-29 20:18:46)
Este es un factor con signo opuesto a los factores E6 y anteriores. Cuanto mayor la evaluación, peor el resultado.</t>
      </text>
    </comment>
    <comment authorId="0" ref="C7">
      <text>
        <t xml:space="preserve">======
ID#AAABrntIk5I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41">
      <text>
        <t xml:space="preserve">======
ID#AAABrntIk4g
Autor    (2023-08-29 20:18:46)
¿La aplicación requiere diseñarse para ser altamente reusable?</t>
      </text>
    </comment>
    <comment authorId="0" ref="B44">
      <text>
        <t xml:space="preserve">======
ID#AAABrntIk5E
Autor    (2023-08-29 20:18:46)
¿La aplicación, debe funcionar en más de una plataforma?</t>
      </text>
    </comment>
    <comment authorId="0" ref="B38">
      <text>
        <t xml:space="preserve">======
ID#AAABrntIk4c
Autor    (2023-08-29 20:18:46)
¿Cuál es la importancia del tiempo de respuesta de la aplicación para el usuario final?</t>
      </text>
    </comment>
    <comment authorId="0" ref="B60">
      <text>
        <t xml:space="preserve">======
ID#AAABrntIk5Q
Autor    (2023-08-29 20:18:46)
Evalúa si los analistas han sido capaces de mantener estables los requerimientos en el pasado, minimizando los cambios del software.</t>
      </text>
    </comment>
    <comment authorId="0" ref="B45">
      <text>
        <t xml:space="preserve">======
ID#AAABrntIk40
Autor    (2023-08-29 20:18:46)
¿El cliente requiere que la aplicación se pueda cambiar fácilmente en el futuro?</t>
      </text>
    </comment>
    <comment authorId="0" ref="B43">
      <text>
        <t xml:space="preserve">======
ID#AAABrntIk4o
Autor    (2023-08-29 20:18:46)
¿Hay requerimientos especiales respecto de la facilidad de uso?</t>
      </text>
    </comment>
    <comment authorId="0" ref="B37">
      <text>
        <t xml:space="preserve">======
ID#AAABrntIk5M
Autor    (2023-08-29 20:18:46)
¿Arquitectura centralizada o distribuida?</t>
      </text>
    </comment>
    <comment authorId="0" ref="B49">
      <text>
        <t xml:space="preserve">======
ID#AAABrntIk4k
Autor    (2023-08-29 20:18:46)
¿Se requiere formación específica para los Usuarios?</t>
      </text>
    </comment>
    <comment authorId="0" ref="B78">
      <text>
        <t xml:space="preserve">======
ID#AAABrntIk5Y
Autor    (2023-08-29 20:18:46)
Esta distribución es una referencia. Proyecto a proyecto debe actualizarse mediante  ESTADISTICAS.</t>
      </text>
    </comment>
    <comment authorId="0" ref="B48">
      <text>
        <t xml:space="preserve">======
ID#AAABrntIk48
Autor    (2023-08-29 20:18:46)
¿Nuestro código usará componentes COTS, librerías frameworks ya desarrollados? Si así fuera, reducirá la carga de trabajo de desarrollo.</t>
      </text>
    </comment>
    <comment authorId="0" ref="G72">
      <text>
        <t xml:space="preserve">======
ID#AAABrntIk4w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56">
      <text>
        <t xml:space="preserve">======
ID#AAABrntIk5U
Autor    (2023-08-29 20:18:46)
¿Ya trabajado el equipo en el area (dominio) de la aplicación?</t>
      </text>
    </comment>
    <comment authorId="0" ref="B47">
      <text>
        <t xml:space="preserve">======
ID#AAABrntIk44
Autor    (2023-08-29 20:18:46)
¿Es suficiente con las prestaciones de seguridad normales, o hace falta algo especial?</t>
      </text>
    </comment>
    <comment authorId="0" ref="B40">
      <text>
        <t xml:space="preserve">======
ID#AAABrntIk4s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i0zhh/tamYR/HGDIXVbITq+JiLYw=="/>
    </ext>
  </extLst>
</comments>
</file>

<file path=xl/sharedStrings.xml><?xml version="1.0" encoding="utf-8"?>
<sst xmlns="http://schemas.openxmlformats.org/spreadsheetml/2006/main" count="153" uniqueCount="129">
  <si>
    <t>ESTIMACIÓN por PUNTOS de CASO de USO</t>
  </si>
  <si>
    <t>Proyecto:</t>
  </si>
  <si>
    <t>Kairos</t>
  </si>
  <si>
    <t>Gestor de Proyecto:</t>
  </si>
  <si>
    <t xml:space="preserve"> Valeria Centurion, Gillermo Escalante, Florencia Mendez, Agustina 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</si>
  <si>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</si>
  <si>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</si>
  <si>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</si>
  <si>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</si>
  <si>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</si>
  <si>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</si>
  <si>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</si>
  <si>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</si>
  <si>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</si>
  <si>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</si>
  <si>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</si>
  <si>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</si>
  <si>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</si>
  <si>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</si>
  <si>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</si>
  <si>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</si>
  <si>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</si>
  <si>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</si>
  <si>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</si>
  <si>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</si>
  <si>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CU07: Crear etapa</t>
  </si>
  <si>
    <t>Simple</t>
  </si>
  <si>
    <t>CU23: Registrar usuario a proyecto</t>
  </si>
  <si>
    <t>CU##: Gestionar proyectos</t>
  </si>
  <si>
    <t>CU08: Crear iteración</t>
  </si>
  <si>
    <t>CU##: Gestionar tareas</t>
  </si>
  <si>
    <t>CU20:Registrar tiempo por cronómetro</t>
  </si>
  <si>
    <t>Intermedio</t>
  </si>
  <si>
    <t>CU21: Registrar tiempo manual</t>
  </si>
  <si>
    <t>CU03: Asignar rol</t>
  </si>
  <si>
    <t>CU04: Modificar perfil</t>
  </si>
  <si>
    <t>CU23: Ver reporte</t>
  </si>
  <si>
    <t>CU02: Exportar información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</si>
  <si>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</si>
  <si>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</si>
  <si>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</si>
  <si>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</si>
  <si>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</si>
  <si>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</si>
  <si>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</si>
  <si>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</si>
  <si>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</si>
  <si>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T1  Sistema Distribuido</t>
  </si>
  <si>
    <t>0=no importante  5=esencial</t>
  </si>
  <si>
    <t>Para nuestro sistema no es importante</t>
  </si>
  <si>
    <t>Ver 4.2 Use Case Point Analysis e11</t>
  </si>
  <si>
    <t>T2  Objetivos de Desempeño o Tiempo de Respuesta</t>
  </si>
  <si>
    <t>Si es importante para el funcionamiento del sistema</t>
  </si>
  <si>
    <t>Object-Oriented Analysis and Design for Information Systems: Modeling with UML, OCL, and IFML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</si>
  <si>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</si>
  <si>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</si>
  <si>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</si>
  <si>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</si>
  <si>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</si>
  <si>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</si>
  <si>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</si>
  <si>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</si>
  <si>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</si>
  <si>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</si>
  <si>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</si>
  <si>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</si>
  <si>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estaticas</t>
  </si>
  <si>
    <t>T10 Concurrencia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</si>
  <si>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</si>
  <si>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</si>
  <si>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</si>
  <si>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</si>
  <si>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</si>
  <si>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</si>
  <si>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t xml:space="preserve">Factores Técnicos: TF = ∑ (Peso * Evaluacion ) </t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</si>
  <si>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</si>
  <si>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</si>
  <si>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</si>
  <si>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</si>
  <si>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</si>
  <si>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E1 Familiaridad con un Proceso Definido</t>
  </si>
  <si>
    <t>0 = sin experiencia, 3=media, 5=experto</t>
  </si>
  <si>
    <t>El equipo se considera experto en el proceso definido</t>
  </si>
  <si>
    <t>Ver 4.2 Use Case Point Analysis e17</t>
  </si>
  <si>
    <t>E2 Experiencia en el Dominio de Aplicación</t>
  </si>
  <si>
    <t>El equipo de desarrollo tiene una experiencia alta en cuanto al Dominio de Aplicación</t>
  </si>
  <si>
    <t>E3 Experiencia en Orientación a Objetos</t>
  </si>
  <si>
    <t>El equipo cuenta con la experiencia en POO elevada</t>
  </si>
  <si>
    <t>E4 Capacidad de Liderazgo del  Analista Principal</t>
  </si>
  <si>
    <t>El equipo tiene un alto analisis de requerimientos y modelado OO</t>
  </si>
  <si>
    <t>E5 Motivación</t>
  </si>
  <si>
    <t>0=sin, 3=media, 5=alta</t>
  </si>
  <si>
    <t>El equipo tiene una motivación alta</t>
  </si>
  <si>
    <t>E6 Requerimientos Estables</t>
  </si>
  <si>
    <t>0=extremadamente inestable, 5=no cambian</t>
  </si>
  <si>
    <t>Los requerimientos son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</si>
  <si>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</si>
  <si>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</si>
  <si>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</si>
  <si>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</si>
  <si>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</si>
  <si>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Todos los miembros tienen meses de experiencia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</si>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</sst>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"/>
    <numFmt numFmtId="166" formatCode="0\ %"/>
  </numFmts>
  <fonts count="13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color theme="1"/>
      <name val="Arial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left" vertical="center"/>
    </xf>
    <xf borderId="7" fillId="0" fontId="1" numFmtId="0" xfId="0" applyAlignment="1" applyBorder="1" applyFont="1">
      <alignment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9" fillId="2" fontId="4" numFmtId="49" xfId="0" applyAlignment="1" applyBorder="1" applyFont="1" applyNumberFormat="1">
      <alignment horizontal="center" shrinkToFit="0" vertical="center" wrapText="1"/>
    </xf>
    <xf borderId="9" fillId="3" fontId="5" numFmtId="0" xfId="0" applyAlignment="1" applyBorder="1" applyFill="1" applyFont="1">
      <alignment vertical="center"/>
    </xf>
    <xf borderId="9" fillId="3" fontId="5" numFmtId="49" xfId="0" applyAlignment="1" applyBorder="1" applyFont="1" applyNumberFormat="1">
      <alignment vertical="center"/>
    </xf>
    <xf borderId="9" fillId="3" fontId="5" numFmtId="0" xfId="0" applyAlignment="1" applyBorder="1" applyFont="1">
      <alignment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3" fontId="5" numFmtId="0" xfId="0" applyAlignment="1" applyBorder="1" applyFont="1">
      <alignment shrinkToFit="0" vertical="center" wrapText="1"/>
    </xf>
    <xf borderId="11" fillId="3" fontId="5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9" fillId="4" fontId="7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9" fillId="3" fontId="5" numFmtId="0" xfId="0" applyBorder="1" applyFont="1"/>
    <xf borderId="9" fillId="3" fontId="8" numFmtId="0" xfId="0" applyBorder="1" applyFont="1"/>
    <xf borderId="9" fillId="3" fontId="5" numFmtId="0" xfId="0" applyAlignment="1" applyBorder="1" applyFont="1">
      <alignment horizontal="center"/>
    </xf>
    <xf borderId="9" fillId="4" fontId="6" numFmtId="0" xfId="0" applyAlignment="1" applyBorder="1" applyFont="1">
      <alignment horizontal="center" shrinkToFit="0" wrapText="1"/>
    </xf>
    <xf borderId="0" fillId="0" fontId="4" numFmtId="49" xfId="0" applyAlignment="1" applyFont="1" applyNumberFormat="1">
      <alignment vertical="center"/>
    </xf>
    <xf borderId="9" fillId="3" fontId="5" numFmtId="0" xfId="0" applyAlignment="1" applyBorder="1" applyFont="1">
      <alignment vertical="bottom"/>
    </xf>
    <xf borderId="9" fillId="3" fontId="8" numFmtId="0" xfId="0" applyAlignment="1" applyBorder="1" applyFont="1">
      <alignment vertical="bottom"/>
    </xf>
    <xf borderId="9" fillId="3" fontId="5" numFmtId="0" xfId="0" applyAlignment="1" applyBorder="1" applyFont="1">
      <alignment horizontal="center" vertical="bottom"/>
    </xf>
    <xf borderId="9" fillId="4" fontId="6" numFmtId="0" xfId="0" applyAlignment="1" applyBorder="1" applyFont="1">
      <alignment horizontal="center" shrinkToFit="0" vertical="bottom" wrapText="1"/>
    </xf>
    <xf borderId="12" fillId="3" fontId="8" numFmtId="0" xfId="0" applyAlignment="1" applyBorder="1" applyFont="1">
      <alignment vertical="bottom"/>
    </xf>
    <xf borderId="12" fillId="3" fontId="5" numFmtId="0" xfId="0" applyAlignment="1" applyBorder="1" applyFont="1">
      <alignment horizontal="center" vertical="bottom"/>
    </xf>
    <xf borderId="12" fillId="3" fontId="5" numFmtId="0" xfId="0" applyAlignment="1" applyBorder="1" applyFont="1">
      <alignment vertical="center"/>
    </xf>
    <xf borderId="12" fillId="3" fontId="5" numFmtId="0" xfId="0" applyAlignment="1" applyBorder="1" applyFont="1">
      <alignment horizontal="center" vertical="center"/>
    </xf>
    <xf borderId="13" fillId="0" fontId="4" numFmtId="0" xfId="0" applyAlignment="1" applyBorder="1" applyFont="1">
      <alignment shrinkToFit="0" vertical="center" wrapText="1"/>
    </xf>
    <xf borderId="6" fillId="0" fontId="4" numFmtId="49" xfId="0" applyAlignment="1" applyBorder="1" applyFont="1" applyNumberFormat="1">
      <alignment horizontal="right" shrinkToFit="0" vertical="center" wrapText="1"/>
    </xf>
    <xf borderId="7" fillId="0" fontId="3" numFmtId="0" xfId="0" applyBorder="1" applyFont="1"/>
    <xf borderId="8" fillId="0" fontId="3" numFmtId="0" xfId="0" applyBorder="1" applyFont="1"/>
    <xf borderId="14" fillId="4" fontId="7" numFmtId="0" xfId="0" applyAlignment="1" applyBorder="1" applyFont="1">
      <alignment horizontal="center" shrinkToFit="0" vertical="center" wrapText="1"/>
    </xf>
    <xf borderId="9" fillId="2" fontId="4" numFmtId="0" xfId="0" applyAlignment="1" applyBorder="1" applyFont="1">
      <alignment shrinkToFit="0" vertical="center" wrapText="1"/>
    </xf>
    <xf borderId="9" fillId="0" fontId="1" numFmtId="49" xfId="0" applyAlignment="1" applyBorder="1" applyFont="1" applyNumberFormat="1">
      <alignment shrinkToFit="0" vertical="center" wrapText="1"/>
    </xf>
    <xf borderId="9" fillId="3" fontId="5" numFmtId="49" xfId="0" applyAlignment="1" applyBorder="1" applyFont="1" applyNumberFormat="1">
      <alignment horizontal="left" vertical="center"/>
    </xf>
    <xf borderId="9" fillId="4" fontId="1" numFmtId="49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3" fontId="5" numFmtId="49" xfId="0" applyAlignment="1" applyBorder="1" applyFont="1" applyNumberFormat="1">
      <alignment horizontal="left" shrinkToFit="0" vertical="center" wrapText="1"/>
    </xf>
    <xf borderId="0" fillId="0" fontId="9" numFmtId="0" xfId="0" applyAlignment="1" applyFont="1">
      <alignment shrinkToFit="0" vertical="top" wrapText="1"/>
    </xf>
    <xf borderId="9" fillId="4" fontId="10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9" fillId="0" fontId="1" numFmtId="0" xfId="0" applyAlignment="1" applyBorder="1" applyFont="1">
      <alignment shrinkToFit="0" vertical="center" wrapText="1"/>
    </xf>
    <xf borderId="9" fillId="3" fontId="5" numFmtId="0" xfId="0" applyAlignment="1" applyBorder="1" applyFont="1">
      <alignment horizontal="center" readingOrder="0" shrinkToFit="0" vertical="center" wrapText="1"/>
    </xf>
    <xf borderId="9" fillId="3" fontId="5" numFmtId="49" xfId="0" applyAlignment="1" applyBorder="1" applyFont="1" applyNumberFormat="1">
      <alignment horizontal="left" readingOrder="0"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9" fillId="2" fontId="4" numFmtId="164" xfId="0" applyAlignment="1" applyBorder="1" applyFont="1" applyNumberFormat="1">
      <alignment horizontal="center" shrinkToFit="0" vertical="center" wrapText="1"/>
    </xf>
    <xf borderId="10" fillId="5" fontId="11" numFmtId="0" xfId="0" applyAlignment="1" applyBorder="1" applyFill="1" applyFont="1">
      <alignment shrinkToFit="0" vertical="center" wrapText="1"/>
    </xf>
    <xf borderId="9" fillId="2" fontId="1" numFmtId="16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vertical="center"/>
    </xf>
    <xf borderId="9" fillId="3" fontId="5" numFmtId="164" xfId="0" applyAlignment="1" applyBorder="1" applyFont="1" applyNumberFormat="1">
      <alignment horizontal="center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9" fillId="2" fontId="4" numFmtId="164" xfId="0" applyAlignment="1" applyBorder="1" applyFont="1" applyNumberFormat="1">
      <alignment horizontal="center" vertical="center"/>
    </xf>
    <xf borderId="9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9" fillId="2" fontId="1" numFmtId="0" xfId="0" applyAlignment="1" applyBorder="1" applyFont="1">
      <alignment horizontal="left" shrinkToFit="0" vertical="center" wrapText="1"/>
    </xf>
    <xf borderId="9" fillId="3" fontId="12" numFmtId="166" xfId="0" applyAlignment="1" applyBorder="1" applyFont="1" applyNumberFormat="1">
      <alignment horizontal="center" shrinkToFit="0" vertical="center" wrapText="1"/>
    </xf>
    <xf borderId="9" fillId="2" fontId="1" numFmtId="0" xfId="0" applyAlignment="1" applyBorder="1" applyFont="1">
      <alignment shrinkToFit="0" vertical="center" wrapText="1"/>
    </xf>
    <xf borderId="0" fillId="0" fontId="1" numFmtId="2" xfId="0" applyAlignment="1" applyFont="1" applyNumberFormat="1">
      <alignment shrinkToFit="0" vertical="center" wrapText="1"/>
    </xf>
    <xf borderId="9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71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5262" cy="266736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5250" cy="2667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5262" cy="2667360"/>
              <a:chOff x="599760" y="24144120"/>
              <a:chExt cx="4382280" cy="2667600"/>
            </a:xfrm>
          </xdr:grpSpPr>
          <xdr:sp>
            <xdr:nvSpPr>
              <xdr:cNvPr id="6" name="Shape 6"/>
              <xdr:cNvSpPr/>
            </xdr:nvSpPr>
            <xdr:spPr>
              <a:xfrm>
                <a:off x="599760" y="24144120"/>
                <a:ext cx="4381900" cy="2667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cxnSp>
            <xdr:nvCxnSpPr>
              <xdr:cNvPr id="7" name="Shape 7"/>
              <xdr:cNvCxnSpPr/>
            </xdr:nvCxnSpPr>
            <xdr:spPr>
              <a:xfrm>
                <a:off x="599760" y="24144120"/>
                <a:ext cx="4382280" cy="2667600"/>
              </a:xfrm>
              <a:prstGeom prst="straightConnector1">
                <a:avLst/>
              </a:prstGeom>
              <a:noFill/>
              <a:ln cap="flat" cmpd="sng" w="9525">
                <a:solidFill>
                  <a:srgbClr val="4A7DBA"/>
                </a:solidFill>
                <a:prstDash val="solid"/>
                <a:round/>
                <a:headEnd len="sm" w="sm" type="none"/>
                <a:tailEnd len="med" w="med" type="triangle"/>
              </a:ln>
            </xdr:spPr>
          </xdr:cxn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/>
      <c r="C10" s="22"/>
      <c r="D10" s="27"/>
      <c r="E10" s="24"/>
      <c r="F10" s="25"/>
      <c r="G10" s="2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17</v>
      </c>
      <c r="C11" s="22" t="s">
        <v>13</v>
      </c>
      <c r="D11" s="23" t="s">
        <v>18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19</v>
      </c>
      <c r="D12" s="6"/>
      <c r="E12" s="6"/>
      <c r="F12" s="7"/>
      <c r="G12" s="30">
        <f>SUM(G8:G11)</f>
        <v>3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20</v>
      </c>
      <c r="B15" s="19" t="s">
        <v>21</v>
      </c>
      <c r="C15" s="19" t="s">
        <v>22</v>
      </c>
      <c r="D15" s="20" t="s">
        <v>23</v>
      </c>
      <c r="E15" s="20" t="s">
        <v>24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35" t="s">
        <v>25</v>
      </c>
      <c r="C16" s="36"/>
      <c r="D16" s="37">
        <v>3.0</v>
      </c>
      <c r="E16" s="38" t="s">
        <v>26</v>
      </c>
      <c r="F16" s="38">
        <v>5.0</v>
      </c>
      <c r="G16" s="1"/>
      <c r="H16" s="1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9"/>
      <c r="U16" s="1"/>
      <c r="V16" s="1"/>
      <c r="W16" s="1"/>
      <c r="X16" s="1"/>
      <c r="Y16" s="1"/>
      <c r="Z16" s="1"/>
    </row>
    <row r="17" ht="27.75" customHeight="1">
      <c r="A17" s="1"/>
      <c r="B17" s="40" t="s">
        <v>27</v>
      </c>
      <c r="C17" s="41"/>
      <c r="D17" s="42">
        <v>6.0</v>
      </c>
      <c r="E17" s="43" t="str">
        <f t="shared" ref="E17:E18" si="1">IF($D17&gt;0,IF($D17&lt;=3,"Simple",IF(AND($D17&gt;3,$D17&lt;7),"Intermedio",IF($D17&gt;=7,"Complejo","error"))),"-")</f>
        <v>Intermedio</v>
      </c>
      <c r="F17" s="43">
        <f t="shared" ref="F17:F18" si="2">IF($D17&gt;0,IF($D17&lt;=3,5,IF(AND($D17&gt;3,$D17&lt;7),10,IF($D17&gt;=7,15,"error"))),0)</f>
        <v>10</v>
      </c>
      <c r="G17" s="1"/>
      <c r="H17" s="1"/>
      <c r="I17" s="1"/>
      <c r="J17" s="1"/>
      <c r="K17" s="39"/>
      <c r="L17" s="1"/>
      <c r="M17" s="1"/>
      <c r="N17" s="1"/>
      <c r="O17" s="1"/>
      <c r="P17" s="1"/>
      <c r="Q17" s="1"/>
      <c r="R17" s="1"/>
      <c r="S17" s="1"/>
      <c r="T17" s="39"/>
      <c r="U17" s="1"/>
      <c r="V17" s="1"/>
      <c r="W17" s="1"/>
      <c r="X17" s="1"/>
      <c r="Y17" s="1"/>
      <c r="Z17" s="1"/>
    </row>
    <row r="18" ht="27.75" customHeight="1">
      <c r="A18" s="1"/>
      <c r="B18" s="40" t="s">
        <v>28</v>
      </c>
      <c r="C18" s="44"/>
      <c r="D18" s="45">
        <v>8.0</v>
      </c>
      <c r="E18" s="43" t="str">
        <f t="shared" si="1"/>
        <v>Complejo</v>
      </c>
      <c r="F18" s="43">
        <f t="shared" si="2"/>
        <v>15</v>
      </c>
      <c r="G18" s="1"/>
      <c r="H18" s="1"/>
      <c r="I18" s="1"/>
      <c r="J18" s="1"/>
      <c r="K18" s="39"/>
      <c r="L18" s="1"/>
      <c r="M18" s="1"/>
      <c r="N18" s="1"/>
      <c r="O18" s="1"/>
      <c r="P18" s="1"/>
      <c r="Q18" s="1"/>
      <c r="R18" s="1"/>
      <c r="S18" s="1"/>
      <c r="T18" s="39"/>
      <c r="U18" s="1"/>
      <c r="V18" s="1"/>
      <c r="W18" s="1"/>
      <c r="X18" s="1"/>
      <c r="Y18" s="1"/>
      <c r="Z18" s="1"/>
    </row>
    <row r="19" ht="27.75" customHeight="1">
      <c r="A19" s="1"/>
      <c r="B19" s="40" t="s">
        <v>29</v>
      </c>
      <c r="C19" s="44"/>
      <c r="D19" s="45">
        <v>3.0</v>
      </c>
      <c r="E19" s="43" t="s">
        <v>26</v>
      </c>
      <c r="F19" s="43">
        <v>5.0</v>
      </c>
      <c r="G19" s="1"/>
      <c r="H19" s="1"/>
      <c r="I19" s="1"/>
      <c r="J19" s="1"/>
      <c r="K19" s="39"/>
      <c r="L19" s="1"/>
      <c r="M19" s="1"/>
      <c r="N19" s="1"/>
      <c r="O19" s="1"/>
      <c r="P19" s="1"/>
      <c r="Q19" s="1"/>
      <c r="R19" s="1"/>
      <c r="S19" s="1"/>
      <c r="T19" s="39"/>
      <c r="U19" s="1"/>
      <c r="V19" s="1"/>
      <c r="W19" s="1"/>
      <c r="X19" s="1"/>
      <c r="Y19" s="1"/>
      <c r="Z19" s="1"/>
    </row>
    <row r="20" ht="27.75" customHeight="1">
      <c r="A20" s="1"/>
      <c r="B20" s="40" t="s">
        <v>30</v>
      </c>
      <c r="C20" s="44"/>
      <c r="D20" s="45">
        <v>10.0</v>
      </c>
      <c r="E20" s="43" t="str">
        <f>IF($D20&gt;0,IF($D20&lt;=3,"Simple",IF(AND($D20&gt;3,$D20&lt;7),"Intermedio",IF($D20&gt;=7,"Complejo","error"))),"-")</f>
        <v>Complejo</v>
      </c>
      <c r="F20" s="43">
        <f>IF($D20&gt;0,IF($D20&lt;=3,5,IF(AND($D20&gt;3,$D20&lt;7),10,IF($D20&gt;=7,15,"error"))),0)</f>
        <v>15</v>
      </c>
      <c r="G20" s="1"/>
      <c r="H20" s="1"/>
      <c r="I20" s="1"/>
      <c r="J20" s="1"/>
      <c r="K20" s="39"/>
      <c r="L20" s="1"/>
      <c r="M20" s="1"/>
      <c r="N20" s="1"/>
      <c r="O20" s="1"/>
      <c r="P20" s="1"/>
      <c r="Q20" s="1"/>
      <c r="R20" s="1"/>
      <c r="S20" s="1"/>
      <c r="T20" s="39"/>
      <c r="U20" s="1"/>
      <c r="V20" s="1"/>
      <c r="W20" s="1"/>
      <c r="X20" s="1"/>
      <c r="Y20" s="1"/>
      <c r="Z20" s="1"/>
    </row>
    <row r="21" ht="27.75" customHeight="1">
      <c r="A21" s="1"/>
      <c r="B21" s="40" t="s">
        <v>31</v>
      </c>
      <c r="C21" s="44"/>
      <c r="D21" s="45">
        <v>4.0</v>
      </c>
      <c r="E21" s="43" t="s">
        <v>32</v>
      </c>
      <c r="F21" s="43">
        <v>10.0</v>
      </c>
      <c r="G21" s="1"/>
      <c r="H21" s="1"/>
      <c r="I21" s="1"/>
      <c r="J21" s="1"/>
      <c r="K21" s="39"/>
      <c r="L21" s="1"/>
      <c r="M21" s="1"/>
      <c r="N21" s="1"/>
      <c r="O21" s="1"/>
      <c r="P21" s="1"/>
      <c r="Q21" s="1"/>
      <c r="R21" s="1"/>
      <c r="S21" s="1"/>
      <c r="T21" s="39"/>
      <c r="U21" s="1"/>
      <c r="V21" s="1"/>
      <c r="W21" s="1"/>
      <c r="X21" s="1"/>
      <c r="Y21" s="1"/>
      <c r="Z21" s="1"/>
    </row>
    <row r="22" ht="27.75" customHeight="1">
      <c r="A22" s="1"/>
      <c r="B22" s="40" t="s">
        <v>33</v>
      </c>
      <c r="C22" s="44"/>
      <c r="D22" s="45">
        <v>4.0</v>
      </c>
      <c r="E22" s="43" t="str">
        <f t="shared" ref="E22:E26" si="3">IF($D22&gt;0,IF($D22&lt;=3,"Simple",IF(AND($D22&gt;3,$D22&lt;7),"Intermedio",IF($D22&gt;=7,"Complejo","error"))),"-")</f>
        <v>Intermedio</v>
      </c>
      <c r="F22" s="43">
        <f t="shared" ref="F22:F26" si="4">IF($D22&gt;0,IF($D22&lt;=3,5,IF(AND($D22&gt;3,$D22&lt;7),10,IF($D22&gt;=7,15,"error"))),0)</f>
        <v>10</v>
      </c>
      <c r="G22" s="1"/>
      <c r="H22" s="1"/>
      <c r="I22" s="1"/>
      <c r="J22" s="1"/>
      <c r="K22" s="39"/>
      <c r="L22" s="1"/>
      <c r="M22" s="1"/>
      <c r="N22" s="1"/>
      <c r="O22" s="1"/>
      <c r="P22" s="1"/>
      <c r="Q22" s="1"/>
      <c r="R22" s="1"/>
      <c r="S22" s="1"/>
      <c r="T22" s="39"/>
      <c r="U22" s="1"/>
      <c r="V22" s="1"/>
      <c r="W22" s="1"/>
      <c r="X22" s="1"/>
      <c r="Y22" s="1"/>
      <c r="Z22" s="1"/>
    </row>
    <row r="23" ht="27.75" customHeight="1">
      <c r="A23" s="1"/>
      <c r="B23" s="40" t="s">
        <v>34</v>
      </c>
      <c r="C23" s="44"/>
      <c r="D23" s="45">
        <v>3.0</v>
      </c>
      <c r="E23" s="43" t="str">
        <f t="shared" si="3"/>
        <v>Simple</v>
      </c>
      <c r="F23" s="43">
        <f t="shared" si="4"/>
        <v>5</v>
      </c>
      <c r="G23" s="1"/>
      <c r="H23" s="1"/>
      <c r="I23" s="1"/>
      <c r="J23" s="1"/>
      <c r="K23" s="39"/>
      <c r="L23" s="1"/>
      <c r="M23" s="1"/>
      <c r="N23" s="1"/>
      <c r="O23" s="1"/>
      <c r="P23" s="1"/>
      <c r="Q23" s="1"/>
      <c r="R23" s="1"/>
      <c r="S23" s="1"/>
      <c r="T23" s="39"/>
      <c r="U23" s="1"/>
      <c r="V23" s="1"/>
      <c r="W23" s="1"/>
      <c r="X23" s="1"/>
      <c r="Y23" s="1"/>
      <c r="Z23" s="1"/>
    </row>
    <row r="24" ht="27.75" customHeight="1">
      <c r="A24" s="1"/>
      <c r="B24" s="40" t="s">
        <v>35</v>
      </c>
      <c r="C24" s="44"/>
      <c r="D24" s="45">
        <v>3.0</v>
      </c>
      <c r="E24" s="43" t="str">
        <f t="shared" si="3"/>
        <v>Simple</v>
      </c>
      <c r="F24" s="43">
        <f t="shared" si="4"/>
        <v>5</v>
      </c>
      <c r="G24" s="1"/>
      <c r="H24" s="1"/>
      <c r="I24" s="1"/>
      <c r="J24" s="1"/>
      <c r="K24" s="39"/>
      <c r="L24" s="1"/>
      <c r="M24" s="1"/>
      <c r="N24" s="1"/>
      <c r="O24" s="1"/>
      <c r="P24" s="1"/>
      <c r="Q24" s="1"/>
      <c r="R24" s="1"/>
      <c r="S24" s="1"/>
      <c r="T24" s="39"/>
      <c r="U24" s="1"/>
      <c r="V24" s="1"/>
      <c r="W24" s="1"/>
      <c r="X24" s="1"/>
      <c r="Y24" s="1"/>
      <c r="Z24" s="1"/>
    </row>
    <row r="25" ht="27.75" customHeight="1">
      <c r="A25" s="1"/>
      <c r="B25" s="40" t="s">
        <v>36</v>
      </c>
      <c r="C25" s="41"/>
      <c r="D25" s="45">
        <v>4.0</v>
      </c>
      <c r="E25" s="43" t="str">
        <f t="shared" si="3"/>
        <v>Intermedio</v>
      </c>
      <c r="F25" s="43">
        <f t="shared" si="4"/>
        <v>10</v>
      </c>
      <c r="G25" s="1"/>
      <c r="H25" s="1"/>
      <c r="I25" s="1"/>
      <c r="J25" s="1"/>
      <c r="K25" s="39"/>
      <c r="L25" s="1"/>
      <c r="M25" s="1"/>
      <c r="N25" s="1"/>
      <c r="O25" s="1"/>
      <c r="P25" s="1"/>
      <c r="Q25" s="1"/>
      <c r="R25" s="1"/>
      <c r="S25" s="1"/>
      <c r="T25" s="39"/>
      <c r="U25" s="1"/>
      <c r="V25" s="1"/>
      <c r="W25" s="1"/>
      <c r="X25" s="1"/>
      <c r="Y25" s="1"/>
      <c r="Z25" s="1"/>
    </row>
    <row r="26" ht="27.75" customHeight="1">
      <c r="A26" s="1"/>
      <c r="B26" s="40" t="s">
        <v>37</v>
      </c>
      <c r="C26" s="44"/>
      <c r="D26" s="45">
        <v>3.0</v>
      </c>
      <c r="E26" s="43" t="str">
        <f t="shared" si="3"/>
        <v>Simple</v>
      </c>
      <c r="F26" s="43">
        <f t="shared" si="4"/>
        <v>5</v>
      </c>
      <c r="G26" s="1"/>
      <c r="H26" s="1"/>
      <c r="I26" s="1"/>
      <c r="J26" s="1"/>
      <c r="K26" s="39"/>
      <c r="L26" s="1"/>
      <c r="M26" s="1"/>
      <c r="N26" s="1"/>
      <c r="O26" s="1"/>
      <c r="P26" s="1"/>
      <c r="Q26" s="1"/>
      <c r="R26" s="1"/>
      <c r="S26" s="1"/>
      <c r="T26" s="39"/>
      <c r="U26" s="1"/>
      <c r="V26" s="1"/>
      <c r="W26" s="1"/>
      <c r="X26" s="1"/>
      <c r="Y26" s="1"/>
      <c r="Z26" s="1"/>
    </row>
    <row r="27" ht="27.75" customHeight="1">
      <c r="A27" s="1"/>
      <c r="B27" s="21"/>
      <c r="C27" s="46"/>
      <c r="D27" s="47"/>
      <c r="E27" s="24"/>
      <c r="F27" s="24"/>
      <c r="G27" s="1"/>
      <c r="H27" s="1"/>
      <c r="I27" s="1"/>
      <c r="J27" s="1"/>
      <c r="K27" s="39"/>
      <c r="L27" s="1"/>
      <c r="M27" s="1"/>
      <c r="N27" s="1"/>
      <c r="O27" s="1"/>
      <c r="P27" s="1"/>
      <c r="Q27" s="1"/>
      <c r="R27" s="1"/>
      <c r="S27" s="1"/>
      <c r="T27" s="39"/>
      <c r="U27" s="1"/>
      <c r="V27" s="1"/>
      <c r="W27" s="1"/>
      <c r="X27" s="1"/>
      <c r="Y27" s="1"/>
      <c r="Z27" s="1"/>
    </row>
    <row r="28" ht="27.75" customHeight="1">
      <c r="A28" s="1"/>
      <c r="B28" s="21"/>
      <c r="C28" s="21"/>
      <c r="D28" s="47"/>
      <c r="E28" s="24"/>
      <c r="F28" s="24"/>
      <c r="G28" s="1"/>
      <c r="H28" s="1"/>
      <c r="I28" s="1"/>
      <c r="J28" s="1"/>
      <c r="K28" s="39"/>
      <c r="L28" s="1"/>
      <c r="M28" s="1"/>
      <c r="N28" s="1"/>
      <c r="O28" s="1"/>
      <c r="P28" s="1"/>
      <c r="Q28" s="1"/>
      <c r="R28" s="1"/>
      <c r="S28" s="1"/>
      <c r="T28" s="39"/>
      <c r="U28" s="1"/>
      <c r="V28" s="1"/>
      <c r="W28" s="1"/>
      <c r="X28" s="1"/>
      <c r="Y28" s="1"/>
      <c r="Z28" s="1"/>
    </row>
    <row r="29" ht="27.75" customHeight="1">
      <c r="A29" s="1"/>
      <c r="B29" s="21"/>
      <c r="C29" s="46"/>
      <c r="D29" s="47"/>
      <c r="E29" s="24"/>
      <c r="F29" s="24"/>
      <c r="G29" s="1"/>
      <c r="H29" s="1"/>
      <c r="I29" s="1"/>
      <c r="J29" s="1"/>
      <c r="K29" s="39"/>
      <c r="L29" s="1"/>
      <c r="M29" s="1"/>
      <c r="N29" s="1"/>
      <c r="O29" s="1"/>
      <c r="P29" s="1"/>
      <c r="Q29" s="1"/>
      <c r="R29" s="1"/>
      <c r="S29" s="1"/>
      <c r="T29" s="39"/>
      <c r="U29" s="1"/>
      <c r="V29" s="1"/>
      <c r="W29" s="1"/>
      <c r="X29" s="1"/>
      <c r="Y29" s="1"/>
      <c r="Z29" s="1"/>
    </row>
    <row r="30" ht="27.75" customHeight="1">
      <c r="A30" s="1"/>
      <c r="B30" s="48"/>
      <c r="C30" s="49" t="s">
        <v>38</v>
      </c>
      <c r="D30" s="50"/>
      <c r="E30" s="51"/>
      <c r="F30" s="52">
        <f>SUM(F16:F29)</f>
        <v>95</v>
      </c>
      <c r="G30" s="1"/>
      <c r="H30" s="1"/>
      <c r="I30" s="1"/>
      <c r="J30" s="1"/>
      <c r="K30" s="39"/>
      <c r="L30" s="1"/>
      <c r="M30" s="1"/>
      <c r="N30" s="1"/>
      <c r="O30" s="1"/>
      <c r="P30" s="1"/>
      <c r="Q30" s="1"/>
      <c r="R30" s="1"/>
      <c r="S30" s="1"/>
      <c r="T30" s="39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8"/>
      <c r="I31" s="1"/>
      <c r="J31" s="1"/>
      <c r="K31" s="39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"/>
      <c r="B32" s="1"/>
      <c r="C32" s="1"/>
      <c r="D32" s="2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8" t="s">
        <v>39</v>
      </c>
      <c r="B33" s="53"/>
      <c r="C33" s="29" t="s">
        <v>40</v>
      </c>
      <c r="D33" s="6"/>
      <c r="E33" s="7"/>
      <c r="F33" s="30">
        <f>G12+F30</f>
        <v>98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1"/>
      <c r="C34" s="1"/>
      <c r="D34" s="2"/>
      <c r="E34" s="3"/>
      <c r="F34" s="1"/>
      <c r="G34" s="1"/>
      <c r="H34" s="1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"/>
      <c r="B35" s="3"/>
      <c r="C35" s="1"/>
      <c r="D35" s="2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8" t="s">
        <v>41</v>
      </c>
      <c r="B36" s="20" t="s">
        <v>42</v>
      </c>
      <c r="C36" s="20" t="s">
        <v>43</v>
      </c>
      <c r="D36" s="19" t="s">
        <v>44</v>
      </c>
      <c r="E36" s="19" t="s">
        <v>9</v>
      </c>
      <c r="F36" s="19" t="s">
        <v>45</v>
      </c>
      <c r="G36" s="19" t="s">
        <v>46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75" customHeight="1">
      <c r="A37" s="1"/>
      <c r="B37" s="54" t="s">
        <v>47</v>
      </c>
      <c r="C37" s="54" t="s">
        <v>48</v>
      </c>
      <c r="D37" s="55" t="s">
        <v>49</v>
      </c>
      <c r="E37" s="56">
        <v>2.0</v>
      </c>
      <c r="F37" s="25">
        <v>0.0</v>
      </c>
      <c r="G37" s="57">
        <f t="shared" ref="G37:G49" si="5">E37*F37</f>
        <v>0</v>
      </c>
      <c r="H37" s="1" t="s">
        <v>50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27.75" customHeight="1">
      <c r="A38" s="1"/>
      <c r="B38" s="54" t="s">
        <v>51</v>
      </c>
      <c r="C38" s="54" t="s">
        <v>48</v>
      </c>
      <c r="D38" s="58" t="s">
        <v>52</v>
      </c>
      <c r="E38" s="57">
        <v>2.0</v>
      </c>
      <c r="F38" s="25">
        <v>5.0</v>
      </c>
      <c r="G38" s="57">
        <f t="shared" si="5"/>
        <v>10</v>
      </c>
      <c r="H38" s="59" t="s">
        <v>53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54" t="s">
        <v>54</v>
      </c>
      <c r="C39" s="54" t="s">
        <v>48</v>
      </c>
      <c r="D39" s="58"/>
      <c r="E39" s="57">
        <v>1.0</v>
      </c>
      <c r="F39" s="25">
        <v>5.0</v>
      </c>
      <c r="G39" s="57">
        <f t="shared" si="5"/>
        <v>5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4" t="s">
        <v>55</v>
      </c>
      <c r="C40" s="54" t="s">
        <v>48</v>
      </c>
      <c r="D40" s="55" t="s">
        <v>56</v>
      </c>
      <c r="E40" s="57">
        <v>1.0</v>
      </c>
      <c r="F40" s="25">
        <v>3.0</v>
      </c>
      <c r="G40" s="57">
        <f t="shared" si="5"/>
        <v>3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75" customHeight="1">
      <c r="A41" s="1"/>
      <c r="B41" s="54" t="s">
        <v>57</v>
      </c>
      <c r="C41" s="54" t="s">
        <v>48</v>
      </c>
      <c r="D41" s="55" t="s">
        <v>58</v>
      </c>
      <c r="E41" s="56">
        <v>1.0</v>
      </c>
      <c r="F41" s="25">
        <v>0.0</v>
      </c>
      <c r="G41" s="57">
        <f t="shared" si="5"/>
        <v>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4" t="s">
        <v>59</v>
      </c>
      <c r="C42" s="54" t="s">
        <v>48</v>
      </c>
      <c r="D42" s="58" t="s">
        <v>60</v>
      </c>
      <c r="E42" s="56">
        <v>0.5</v>
      </c>
      <c r="F42" s="25">
        <v>3.0</v>
      </c>
      <c r="G42" s="57">
        <f t="shared" si="5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54" t="s">
        <v>61</v>
      </c>
      <c r="C43" s="54" t="s">
        <v>48</v>
      </c>
      <c r="D43" s="58" t="s">
        <v>62</v>
      </c>
      <c r="E43" s="56">
        <v>0.5</v>
      </c>
      <c r="F43" s="25">
        <v>5.0</v>
      </c>
      <c r="G43" s="57">
        <f t="shared" si="5"/>
        <v>2.5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54" t="s">
        <v>63</v>
      </c>
      <c r="C44" s="54" t="s">
        <v>48</v>
      </c>
      <c r="D44" s="58" t="s">
        <v>64</v>
      </c>
      <c r="E44" s="56">
        <v>2.0</v>
      </c>
      <c r="F44" s="25">
        <v>3.0</v>
      </c>
      <c r="G44" s="57">
        <f t="shared" si="5"/>
        <v>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54" t="s">
        <v>65</v>
      </c>
      <c r="C45" s="54" t="s">
        <v>48</v>
      </c>
      <c r="D45" s="55" t="s">
        <v>66</v>
      </c>
      <c r="E45" s="56">
        <v>1.0</v>
      </c>
      <c r="F45" s="25">
        <v>0.0</v>
      </c>
      <c r="G45" s="57">
        <f t="shared" si="5"/>
        <v>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54" t="s">
        <v>67</v>
      </c>
      <c r="C46" s="54" t="s">
        <v>48</v>
      </c>
      <c r="D46" s="55"/>
      <c r="E46" s="56">
        <v>1.0</v>
      </c>
      <c r="F46" s="25">
        <v>5.0</v>
      </c>
      <c r="G46" s="57">
        <f t="shared" si="5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1"/>
      <c r="B47" s="54" t="s">
        <v>68</v>
      </c>
      <c r="C47" s="54" t="s">
        <v>48</v>
      </c>
      <c r="D47" s="55" t="s">
        <v>69</v>
      </c>
      <c r="E47" s="57">
        <v>1.0</v>
      </c>
      <c r="F47" s="25">
        <v>5.0</v>
      </c>
      <c r="G47" s="57">
        <f t="shared" si="5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75" customHeight="1">
      <c r="A48" s="1"/>
      <c r="B48" s="54" t="s">
        <v>70</v>
      </c>
      <c r="C48" s="54" t="s">
        <v>48</v>
      </c>
      <c r="D48" s="55" t="s">
        <v>71</v>
      </c>
      <c r="E48" s="57">
        <v>1.0</v>
      </c>
      <c r="F48" s="25">
        <v>5.0</v>
      </c>
      <c r="G48" s="57">
        <f t="shared" si="5"/>
        <v>5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1.5" customHeight="1">
      <c r="A49" s="1"/>
      <c r="B49" s="54" t="s">
        <v>72</v>
      </c>
      <c r="C49" s="54" t="s">
        <v>48</v>
      </c>
      <c r="D49" s="55" t="s">
        <v>73</v>
      </c>
      <c r="E49" s="56">
        <v>1.0</v>
      </c>
      <c r="F49" s="25">
        <v>4.0</v>
      </c>
      <c r="G49" s="57">
        <f t="shared" si="5"/>
        <v>4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75" customHeight="1">
      <c r="A50" s="1"/>
      <c r="B50" s="29" t="s">
        <v>74</v>
      </c>
      <c r="C50" s="6"/>
      <c r="D50" s="6"/>
      <c r="E50" s="6"/>
      <c r="F50" s="7"/>
      <c r="G50" s="60">
        <f>SUM(G37:G49)</f>
        <v>47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29" t="s">
        <v>75</v>
      </c>
      <c r="C51" s="6"/>
      <c r="D51" s="6"/>
      <c r="E51" s="6"/>
      <c r="F51" s="7"/>
      <c r="G51" s="52">
        <f>0.6+(0.01*G50)</f>
        <v>1.07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31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"/>
      <c r="B53" s="61"/>
      <c r="C53" s="61"/>
      <c r="D53" s="62"/>
      <c r="E53" s="61"/>
      <c r="F53" s="61"/>
      <c r="G53" s="6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75" customHeight="1">
      <c r="A54" s="18" t="s">
        <v>76</v>
      </c>
      <c r="B54" s="20" t="s">
        <v>77</v>
      </c>
      <c r="C54" s="20" t="s">
        <v>78</v>
      </c>
      <c r="D54" s="19" t="s">
        <v>79</v>
      </c>
      <c r="E54" s="19" t="s">
        <v>9</v>
      </c>
      <c r="F54" s="19" t="s">
        <v>45</v>
      </c>
      <c r="G54" s="19" t="s">
        <v>46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64.5" customHeight="1">
      <c r="A55" s="1"/>
      <c r="B55" s="63" t="s">
        <v>80</v>
      </c>
      <c r="C55" s="54" t="s">
        <v>81</v>
      </c>
      <c r="D55" s="58" t="s">
        <v>82</v>
      </c>
      <c r="E55" s="56">
        <v>1.5</v>
      </c>
      <c r="F55" s="64">
        <v>3.0</v>
      </c>
      <c r="G55" s="57">
        <f t="shared" ref="G55:G62" si="6">E55*F55</f>
        <v>4.5</v>
      </c>
      <c r="H55" s="1" t="s">
        <v>83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51.0" customHeight="1">
      <c r="A56" s="1"/>
      <c r="B56" s="63" t="s">
        <v>84</v>
      </c>
      <c r="C56" s="54" t="s">
        <v>81</v>
      </c>
      <c r="D56" s="58" t="s">
        <v>85</v>
      </c>
      <c r="E56" s="56">
        <v>0.5</v>
      </c>
      <c r="F56" s="64">
        <v>3.0</v>
      </c>
      <c r="G56" s="57">
        <f t="shared" si="6"/>
        <v>1.5</v>
      </c>
      <c r="H56" s="59" t="s">
        <v>53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8.75" customHeight="1">
      <c r="A57" s="1"/>
      <c r="B57" s="63" t="s">
        <v>86</v>
      </c>
      <c r="C57" s="54" t="s">
        <v>81</v>
      </c>
      <c r="D57" s="58" t="s">
        <v>87</v>
      </c>
      <c r="E57" s="56">
        <v>1.0</v>
      </c>
      <c r="F57" s="64">
        <v>3.0</v>
      </c>
      <c r="G57" s="57">
        <f t="shared" si="6"/>
        <v>3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46.5" customHeight="1">
      <c r="A58" s="1"/>
      <c r="B58" s="63" t="s">
        <v>88</v>
      </c>
      <c r="C58" s="54" t="s">
        <v>81</v>
      </c>
      <c r="D58" s="58" t="s">
        <v>89</v>
      </c>
      <c r="E58" s="56">
        <v>0.5</v>
      </c>
      <c r="F58" s="64">
        <v>2.0</v>
      </c>
      <c r="G58" s="57">
        <f t="shared" si="6"/>
        <v>1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7.5" customHeight="1">
      <c r="A59" s="1"/>
      <c r="B59" s="63" t="s">
        <v>90</v>
      </c>
      <c r="C59" s="54" t="s">
        <v>91</v>
      </c>
      <c r="D59" s="55" t="s">
        <v>92</v>
      </c>
      <c r="E59" s="56">
        <v>1.0</v>
      </c>
      <c r="F59" s="64">
        <v>3.0</v>
      </c>
      <c r="G59" s="57">
        <f t="shared" si="6"/>
        <v>3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43.5" customHeight="1">
      <c r="A60" s="1"/>
      <c r="B60" s="63" t="s">
        <v>93</v>
      </c>
      <c r="C60" s="54" t="s">
        <v>94</v>
      </c>
      <c r="D60" s="55" t="s">
        <v>95</v>
      </c>
      <c r="E60" s="56">
        <v>2.0</v>
      </c>
      <c r="F60" s="64">
        <v>4.0</v>
      </c>
      <c r="G60" s="57">
        <f t="shared" si="6"/>
        <v>8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71.25" customHeight="1">
      <c r="A61" s="1"/>
      <c r="B61" s="63" t="s">
        <v>96</v>
      </c>
      <c r="C61" s="54" t="s">
        <v>97</v>
      </c>
      <c r="D61" s="65" t="s">
        <v>98</v>
      </c>
      <c r="E61" s="56">
        <v>-1.0</v>
      </c>
      <c r="F61" s="64">
        <v>2.0</v>
      </c>
      <c r="G61" s="57">
        <f t="shared" si="6"/>
        <v>-2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62.25" customHeight="1">
      <c r="A62" s="1"/>
      <c r="B62" s="63" t="s">
        <v>99</v>
      </c>
      <c r="C62" s="54" t="s">
        <v>100</v>
      </c>
      <c r="D62" s="65" t="s">
        <v>101</v>
      </c>
      <c r="E62" s="56">
        <v>-1.0</v>
      </c>
      <c r="F62" s="64">
        <v>4.0</v>
      </c>
      <c r="G62" s="57">
        <f t="shared" si="6"/>
        <v>-4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38.25" customHeight="1">
      <c r="A63" s="1"/>
      <c r="B63" s="29" t="s">
        <v>102</v>
      </c>
      <c r="C63" s="6"/>
      <c r="D63" s="6"/>
      <c r="E63" s="6"/>
      <c r="F63" s="7"/>
      <c r="G63" s="19">
        <f>SUM(G55:G62)</f>
        <v>15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 t="s">
        <v>103</v>
      </c>
      <c r="C64" s="6"/>
      <c r="D64" s="6"/>
      <c r="E64" s="6"/>
      <c r="F64" s="7"/>
      <c r="G64" s="19">
        <f>1.4 + (-0.03*G63)</f>
        <v>0.95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29"/>
      <c r="C65" s="66"/>
      <c r="D65" s="67"/>
      <c r="E65" s="66"/>
      <c r="F65" s="68" t="s">
        <v>104</v>
      </c>
      <c r="G65" s="19">
        <f>COUNTIF($F$55:$F$60,"&lt;3")+COUNTIF($F$61:$F$62,"&gt;3")</f>
        <v>2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31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"/>
      <c r="B67" s="1"/>
      <c r="C67" s="1"/>
      <c r="D67" s="2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8" t="s">
        <v>105</v>
      </c>
      <c r="B68" s="69" t="s">
        <v>106</v>
      </c>
      <c r="C68" s="6"/>
      <c r="D68" s="6"/>
      <c r="E68" s="6"/>
      <c r="F68" s="7"/>
      <c r="G68" s="70">
        <f>F33*G51*G64</f>
        <v>99.617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1"/>
      <c r="B70" s="1"/>
      <c r="C70" s="1"/>
      <c r="D70" s="2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71" t="s">
        <v>107</v>
      </c>
      <c r="B71" s="20" t="s">
        <v>108</v>
      </c>
      <c r="C71" s="20" t="s">
        <v>109</v>
      </c>
      <c r="D71" s="20" t="s">
        <v>110</v>
      </c>
      <c r="E71" s="3"/>
      <c r="F71" s="1"/>
      <c r="G71" s="20" t="s">
        <v>111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31.5" customHeight="1">
      <c r="A72" s="1"/>
      <c r="B72" s="72">
        <v>20.0</v>
      </c>
      <c r="C72" s="72">
        <f>IF($G$65&gt;=5,36,IF(AND(G$65&gt;2,$G$65&lt;=4),28, IF(AND($G$65&gt;=0,$G$65&lt;=2),20,"error")))</f>
        <v>20</v>
      </c>
      <c r="D72" s="73">
        <f>IF($G$65&gt;=5,$G$72*(36/20),IF(AND($G$65&gt;2,$G$65&lt;=4),$G$72*(28/20), IF(AND($G$65&gt;=0,$G$65&lt;=2),$G$72,"error")))</f>
        <v>2</v>
      </c>
      <c r="E72" s="3"/>
      <c r="F72" s="1"/>
      <c r="G72" s="74">
        <v>2.0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1"/>
      <c r="B73" s="75" t="s">
        <v>112</v>
      </c>
      <c r="C73" s="6"/>
      <c r="D73" s="7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76" t="s">
        <v>113</v>
      </c>
      <c r="B74" s="72">
        <f t="shared" ref="B74:D74" si="7">$G$68*B72</f>
        <v>1992.34</v>
      </c>
      <c r="C74" s="72">
        <f t="shared" si="7"/>
        <v>1992.34</v>
      </c>
      <c r="D74" s="72">
        <f t="shared" si="7"/>
        <v>199.234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76" t="s">
        <v>114</v>
      </c>
      <c r="B75" s="77">
        <f t="shared" ref="B75:C75" si="8">B74/(22*8)</f>
        <v>11.32011364</v>
      </c>
      <c r="C75" s="77">
        <f t="shared" si="8"/>
        <v>11.32011364</v>
      </c>
      <c r="D75" s="78">
        <f>D74/(22*3)</f>
        <v>3.01869697</v>
      </c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"/>
      <c r="B77" s="1"/>
      <c r="C77" s="1"/>
      <c r="D77" s="1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8" t="s">
        <v>115</v>
      </c>
      <c r="B78" s="79" t="s">
        <v>116</v>
      </c>
      <c r="C78" s="80"/>
      <c r="D78" s="67"/>
      <c r="E78" s="66"/>
      <c r="F78" s="8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53" t="s">
        <v>117</v>
      </c>
      <c r="C79" s="19" t="s">
        <v>118</v>
      </c>
      <c r="D79" s="70" t="s">
        <v>119</v>
      </c>
      <c r="E79" s="70" t="s">
        <v>120</v>
      </c>
      <c r="F79" s="70" t="s">
        <v>121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82" t="s">
        <v>122</v>
      </c>
      <c r="C80" s="83">
        <v>0.4</v>
      </c>
      <c r="D80" s="77">
        <f t="shared" ref="D80:F80" si="9">$C80/$C$80*B$75</f>
        <v>11.32011364</v>
      </c>
      <c r="E80" s="77">
        <f t="shared" si="9"/>
        <v>11.32011364</v>
      </c>
      <c r="F80" s="77">
        <f t="shared" si="9"/>
        <v>3.01869697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2" t="s">
        <v>123</v>
      </c>
      <c r="C81" s="83">
        <f>1-C80</f>
        <v>0.6</v>
      </c>
      <c r="D81" s="72">
        <f t="shared" ref="D81:F81" si="10">$C81/$C$80*B$75</f>
        <v>16.98017045</v>
      </c>
      <c r="E81" s="72">
        <f t="shared" si="10"/>
        <v>16.98017045</v>
      </c>
      <c r="F81" s="72">
        <f t="shared" si="10"/>
        <v>4.528045455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84"/>
      <c r="C82" s="83">
        <f>SUM(C80:C81)</f>
        <v>1</v>
      </c>
      <c r="D82" s="77">
        <f t="shared" ref="D82:F82" si="11">$C82/$C$80*B$75</f>
        <v>28.30028409</v>
      </c>
      <c r="E82" s="77">
        <f t="shared" si="11"/>
        <v>28.30028409</v>
      </c>
      <c r="F82" s="77">
        <f t="shared" si="11"/>
        <v>7.546742424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"/>
      <c r="B83" s="1"/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8" t="s">
        <v>124</v>
      </c>
      <c r="B84" s="25">
        <v>5.0</v>
      </c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1"/>
      <c r="C85" s="1"/>
      <c r="D85" s="2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8" t="s">
        <v>125</v>
      </c>
      <c r="B86" s="70" t="s">
        <v>126</v>
      </c>
      <c r="C86" s="70" t="s">
        <v>127</v>
      </c>
      <c r="D86" s="70" t="s">
        <v>128</v>
      </c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85"/>
      <c r="B87" s="86">
        <f>$D$82/$B$84</f>
        <v>5.660056818</v>
      </c>
      <c r="C87" s="86">
        <f>$E$82/$B$84</f>
        <v>5.660056818</v>
      </c>
      <c r="D87" s="86">
        <f>$F$82/$B$84</f>
        <v>1.509348485</v>
      </c>
      <c r="E87" s="85"/>
      <c r="F87" s="85"/>
      <c r="G87" s="8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85"/>
      <c r="B88" s="85"/>
      <c r="C88" s="85"/>
      <c r="D88" s="85"/>
      <c r="E88" s="87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5.75" customHeight="1">
      <c r="A89" s="85"/>
      <c r="B89" s="85"/>
      <c r="C89" s="85"/>
      <c r="D89" s="85"/>
      <c r="E89" s="87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5.75" customHeight="1">
      <c r="A90" s="85"/>
      <c r="B90" s="85"/>
      <c r="C90" s="85"/>
      <c r="D90" s="85"/>
      <c r="E90" s="87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5.75" customHeight="1">
      <c r="A91" s="85"/>
      <c r="B91" s="85"/>
      <c r="C91" s="85"/>
      <c r="D91" s="85"/>
      <c r="E91" s="87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5.75" customHeight="1">
      <c r="A92" s="85"/>
      <c r="B92" s="85"/>
      <c r="C92" s="85"/>
      <c r="D92" s="85"/>
      <c r="E92" s="87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5.75" customHeight="1">
      <c r="A93" s="85"/>
      <c r="B93" s="85"/>
      <c r="C93" s="85"/>
      <c r="D93" s="85"/>
      <c r="E93" s="87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5.75" customHeight="1">
      <c r="A94" s="85"/>
      <c r="B94" s="85"/>
      <c r="C94" s="85"/>
      <c r="D94" s="85"/>
      <c r="E94" s="87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5.75" customHeight="1">
      <c r="A95" s="85"/>
      <c r="B95" s="85"/>
      <c r="C95" s="85"/>
      <c r="D95" s="85"/>
      <c r="E95" s="87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5.75" customHeight="1">
      <c r="A96" s="85"/>
      <c r="B96" s="85"/>
      <c r="C96" s="85"/>
      <c r="D96" s="85"/>
      <c r="E96" s="87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5.75" customHeight="1">
      <c r="A97" s="85"/>
      <c r="B97" s="85"/>
      <c r="C97" s="85"/>
      <c r="D97" s="85"/>
      <c r="E97" s="87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5.75" customHeight="1">
      <c r="A98" s="85"/>
      <c r="B98" s="85"/>
      <c r="C98" s="85"/>
      <c r="D98" s="85"/>
      <c r="E98" s="87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5.75" customHeight="1">
      <c r="A99" s="85"/>
      <c r="B99" s="85"/>
      <c r="C99" s="85"/>
      <c r="D99" s="85"/>
      <c r="E99" s="87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5.75" customHeight="1">
      <c r="A100" s="85"/>
      <c r="B100" s="85"/>
      <c r="C100" s="85"/>
      <c r="D100" s="85"/>
      <c r="E100" s="87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 ht="15.75" customHeight="1">
      <c r="A101" s="85"/>
      <c r="B101" s="85"/>
      <c r="C101" s="85"/>
      <c r="D101" s="85"/>
      <c r="E101" s="87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 ht="15.75" customHeight="1">
      <c r="A102" s="85"/>
      <c r="B102" s="85"/>
      <c r="C102" s="85"/>
      <c r="D102" s="85"/>
      <c r="E102" s="87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 ht="15.75" customHeight="1">
      <c r="A103" s="85"/>
      <c r="B103" s="85"/>
      <c r="C103" s="85"/>
      <c r="D103" s="85"/>
      <c r="E103" s="87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 ht="15.75" customHeight="1">
      <c r="A104" s="1"/>
      <c r="B104" s="1"/>
      <c r="C104" s="1"/>
      <c r="D104" s="2"/>
      <c r="E104" s="3"/>
      <c r="F104" s="1"/>
      <c r="G104" s="1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64:F64"/>
    <mergeCell ref="B68:F68"/>
    <mergeCell ref="B73:D73"/>
    <mergeCell ref="B2:G2"/>
    <mergeCell ref="C12:F12"/>
    <mergeCell ref="C30:E30"/>
    <mergeCell ref="C33:E33"/>
    <mergeCell ref="B50:F50"/>
    <mergeCell ref="B51:F51"/>
    <mergeCell ref="B63:F63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4">
      <formula1>1.0</formula1>
      <formula2>9.0</formula2>
    </dataValidation>
  </dataValidations>
  <hyperlinks>
    <hyperlink r:id="rId2" location="v=onepage&amp;q=e7%20part-time%20members&amp;f=false" ref="H38"/>
    <hyperlink r:id="rId3" location="v=onepage&amp;q=e7%20part-time%20members&amp;f=false" ref="H56"/>
  </hyperlinks>
  <printOptions/>
  <pageMargins bottom="1.0" footer="0.0" header="0.0" left="0.75" right="0.75" top="1.0"/>
  <pageSetup orientation="portrait"/>
  <drawing r:id="rId4"/>
  <legacyDrawing r:id="rId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