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>
    <definedName localSheetId="0" name="solver_eng">1</definedName>
    <definedName localSheetId="0" name="solver_neg">1</definedName>
    <definedName localSheetId="0" name="solver_num">0</definedName>
    <definedName localSheetId="0" name="solver_typ">1</definedName>
    <definedName localSheetId="0" name="solver_val">0</definedName>
    <definedName localSheetId="0" name="solver_ver">3</definedName>
    <definedName localSheetId="0" name="solver_opt">Plantilla!$D$62</definedName>
  </definedNames>
  <calcPr/>
  <extLst>
    <ext uri="GoogleSheetsCustomDataVersion2">
      <go:sheetsCustomData xmlns:go="http://customooxmlschemas.google.com/" r:id="rId5" roundtripDataChecksum="IzkSwoG8QFoHxXVdKUB5QN1RnAWF1Ud0Zx0Py/XcvR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6">
      <text>
        <t xml:space="preserve">======
ID#AAABrntIk4A
Autor    (2023-08-29 20:18:46)
¿Hace falta consideraciones especiales para el acceso concurrente (paralelo) a datos y otros recursos?</t>
      </text>
    </comment>
    <comment authorId="0" ref="B47">
      <text>
        <t xml:space="preserve">======
ID#AAABrntIk4I
Autor    (2023-08-29 20:18:46)
Se refiere exclusivamente a la experiencia en el análisis, modelado, diseño y progrmación  mediante el paradigma de OO.</t>
      </text>
    </comment>
    <comment authorId="0" ref="B48">
      <text>
        <t xml:space="preserve">======
ID#AAABrntIk4E
Autor    (2023-08-29 20:18:46)
Se refiere a la experiencia en el análisis de requerimientos y modelado orientado a objetos del Analista Principal.</t>
      </text>
    </comment>
    <comment authorId="0" ref="B51">
      <text>
        <t xml:space="preserve">======
ID#AAABrntIk30
Autor    (2023-08-29 20:18:46)
Este es un factor con signo opuesto a los factores E6 y anteriores. Cuanto mayor la evaluación, peor el resultado.</t>
      </text>
    </comment>
    <comment authorId="0" ref="B71">
      <text>
        <t xml:space="preserve">======
ID#AAABrntIk4Q
Autor    (2023-08-29 20:18:46)
Análisis/Diseño/Pruebas/Sobrecarga</t>
      </text>
    </comment>
    <comment authorId="0" ref="C14">
      <text>
        <t xml:space="preserve">======
ID#AAABrntIk4M
Ejemplo    (2023-08-29 20:18:46)
contar transacciones
Flujo.Ppal.: transacciones 1, 2, 3, 4. 
Flujo Alt.: 0 transaccioines. 
Excepciones.: N/A -&gt; 0 transacciones
-&gt; suma = 4 transacciones</t>
      </text>
    </comment>
    <comment authorId="0" ref="B45">
      <text>
        <t xml:space="preserve">======
ID#AAABrntIk3w
Autor    (2023-08-29 20:18:46)
Debe reflejar el hecho de que el equipo conoce el proceso y el lenguaje de modelado (p.ej.: RUP, UML). Puede ser cualquier otro proceso.</t>
      </text>
    </comment>
    <comment authorId="0" ref="B74">
      <text>
        <t xml:space="preserve">======
ID#AAABrntIk38
Autor    (2023-08-29 20:18:46)
Lo debe sugerir el estimador.</t>
      </text>
    </comment>
    <comment authorId="0" ref="B49">
      <text>
        <t xml:space="preserve">======
ID#AAABrntIk4Y
Autor    (2023-08-29 20:18:46)
Motivación del equipo.</t>
      </text>
    </comment>
    <comment authorId="0" ref="B32">
      <text>
        <t xml:space="preserve">======
ID#AAABrntIk4U
Autor    (2023-08-29 20:18:46)
¿La aplicación debe ser de fácil instalación (para usuarios sin capacidad técnica) o no?</t>
      </text>
    </comment>
    <comment authorId="0" ref="B29">
      <text>
        <t xml:space="preserve">======
ID#AAABrntIk34
Autor    (2023-08-29 20:18:46)
¿La aplicacion está diseñada para que el usuario incremente SU eficiencia (no solo cumpla su cometido)?</t>
      </text>
    </comment>
    <comment authorId="0" ref="B52">
      <text>
        <t xml:space="preserve">======
ID#AAABrntIk5A
Autor    (2023-08-29 20:18:46)
Este es un factor con signo opuesto a los factores E6 y anteriores. Cuanto mayor la evaluación, peor el resultado.</t>
      </text>
    </comment>
    <comment authorId="0" ref="C7">
      <text>
        <t xml:space="preserve">======
ID#AAABrntIk5I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1">
      <text>
        <t xml:space="preserve">======
ID#AAABrntIk4g
Autor    (2023-08-29 20:18:46)
¿La aplicación requiere diseñarse para ser altamente reusable?</t>
      </text>
    </comment>
    <comment authorId="0" ref="B34">
      <text>
        <t xml:space="preserve">======
ID#AAABrntIk5E
Autor    (2023-08-29 20:18:46)
¿La aplicación, debe funcionar en más de una plataforma?</t>
      </text>
    </comment>
    <comment authorId="0" ref="B28">
      <text>
        <t xml:space="preserve">======
ID#AAABrntIk4c
Autor    (2023-08-29 20:18:46)
¿Cuál es la importancia del tiempo de respuesta de la aplicación para el usuario final?</t>
      </text>
    </comment>
    <comment authorId="0" ref="B35">
      <text>
        <t xml:space="preserve">======
ID#AAABrntIk40
Autor    (2023-08-29 20:18:46)
¿El cliente requiere que la aplicación se pueda cambiar fácilmente en el futuro?</t>
      </text>
    </comment>
    <comment authorId="0" ref="B50">
      <text>
        <t xml:space="preserve">======
ID#AAABrntIk5Q
Autor    (2023-08-29 20:18:46)
Evalúa si los analistas han sido capaces de mantener estables los requerimientos en el pasado, minimizando los cambios del software.</t>
      </text>
    </comment>
    <comment authorId="0" ref="B33">
      <text>
        <t xml:space="preserve">======
ID#AAABrntIk4o
Autor    (2023-08-29 20:18:46)
¿Hay requerimientos especiales respecto de la facilidad de uso?</t>
      </text>
    </comment>
    <comment authorId="0" ref="B27">
      <text>
        <t xml:space="preserve">======
ID#AAABrntIk5M
Autor    (2023-08-29 20:18:46)
¿Arquitectura centralizada o distribuida?</t>
      </text>
    </comment>
    <comment authorId="0" ref="B39">
      <text>
        <t xml:space="preserve">======
ID#AAABrntIk4k
Autor    (2023-08-29 20:18:46)
¿Se requiere formación específica para los Usuarios?</t>
      </text>
    </comment>
    <comment authorId="0" ref="B38">
      <text>
        <t xml:space="preserve">======
ID#AAABrntIk48
Autor    (2023-08-29 20:18:46)
¿Nuestro código usará componentes COTS, librerías frameworks ya desarrollados? Si así fuera, reducirá la carga de trabajo de desarrollo.</t>
      </text>
    </comment>
    <comment authorId="0" ref="B68">
      <text>
        <t xml:space="preserve">======
ID#AAABrntIk5Y
Autor    (2023-08-29 20:18:46)
Esta distribución es una referencia. Proyecto a proyecto debe actualizarse mediante  ESTADISTICAS.</t>
      </text>
    </comment>
    <comment authorId="0" ref="G62">
      <text>
        <t xml:space="preserve">======
ID#AAABrntIk4w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37">
      <text>
        <t xml:space="preserve">======
ID#AAABrntIk44
Autor    (2023-08-29 20:18:46)
¿Es suficiente con las prestaciones de seguridad normales, o hace falta algo especial?</t>
      </text>
    </comment>
    <comment authorId="0" ref="B46">
      <text>
        <t xml:space="preserve">======
ID#AAABrntIk5U
Autor    (2023-08-29 20:18:46)
¿Ya trabajado el equipo en el area (dominio) de la aplicación?</t>
      </text>
    </comment>
    <comment authorId="0" ref="B30">
      <text>
        <t xml:space="preserve">======
ID#AAABrntIk4s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ghOhomtIhPakIKQ72avwPdiF9vxA=="/>
    </ext>
  </extLst>
</comments>
</file>

<file path=xl/sharedStrings.xml><?xml version="1.0" encoding="utf-8"?>
<sst xmlns="http://schemas.openxmlformats.org/spreadsheetml/2006/main" count="144" uniqueCount="121">
  <si>
    <t>ESTIMACIÓN por PUNTOS de CASO de USO</t>
  </si>
  <si>
    <t>Proyecto:</t>
  </si>
  <si>
    <t>Kairos</t>
  </si>
  <si>
    <t>Gestor de Proyecto:</t>
  </si>
  <si>
    <t xml:space="preserve"> Valeria Centurion, Gillermo Escalante, Florencia Mendez, Agustina 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</si>
  <si>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</si>
  <si>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</si>
  <si>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</si>
  <si>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</si>
  <si>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</si>
  <si>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</si>
  <si>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</si>
  <si>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</si>
  <si>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</si>
  <si>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</si>
  <si>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</si>
  <si>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</si>
  <si>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</si>
  <si>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</si>
  <si>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</si>
  <si>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</si>
  <si>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</si>
  <si>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</si>
  <si>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</si>
  <si>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</si>
  <si>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CU23: Registrar usuario a proyecto</t>
  </si>
  <si>
    <t>CU05: Crear Proyecto</t>
  </si>
  <si>
    <t>CU##: Gestionar tareas</t>
  </si>
  <si>
    <t>CU20:Registrar tiempo por cronómetro</t>
  </si>
  <si>
    <t>Intermedio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</si>
  <si>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</si>
  <si>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</si>
  <si>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</si>
  <si>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</si>
  <si>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</si>
  <si>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</si>
  <si>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</si>
  <si>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</si>
  <si>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</si>
  <si>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T1  Sistema Distribuido</t>
  </si>
  <si>
    <t>0=no importante  5=esencial</t>
  </si>
  <si>
    <t>Para nuestro sistema no es importante</t>
  </si>
  <si>
    <t>Ver 4.2 Use Case Point Analysis e11</t>
  </si>
  <si>
    <t>T2  Objetivos de Desempeño o Tiempo de Respuesta</t>
  </si>
  <si>
    <t>Si es importante para el funcionamiento del sistema</t>
  </si>
  <si>
    <t>Object-Oriented Analysis and Design for Information Systems: Modeling with UML, OCL, and IFML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</si>
  <si>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</si>
  <si>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</si>
  <si>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</si>
  <si>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</si>
  <si>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</si>
  <si>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</si>
  <si>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</si>
  <si>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</si>
  <si>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</si>
  <si>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</si>
  <si>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</si>
  <si>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</si>
  <si>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estaticas</t>
  </si>
  <si>
    <t>T10 Concurrencia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</si>
  <si>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</si>
  <si>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</si>
  <si>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</si>
  <si>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</si>
  <si>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</si>
  <si>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</si>
  <si>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t xml:space="preserve">Factores Técnicos: TF = ∑ (Peso * Evaluacion ) </t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</si>
  <si>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</si>
  <si>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</si>
  <si>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</si>
  <si>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</si>
  <si>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</si>
  <si>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E1 Familiaridad con un Proceso Definido</t>
  </si>
  <si>
    <t>0 = sin experiencia, 3=media, 5=experto</t>
  </si>
  <si>
    <t>El equipo tiene conocimientos basicos, logicos en este tipos de proyectos</t>
  </si>
  <si>
    <t>Ver 4.2 Use Case Point Analysis e17</t>
  </si>
  <si>
    <t>E2 Experiencia en el Dominio de Aplicación</t>
  </si>
  <si>
    <t>El equipo de desarrollo está investigando y avanzando en el dominio de aplicación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</si>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</sst>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\ %"/>
  </numFmts>
  <fonts count="1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9" fillId="3" fontId="5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vertical="center"/>
    </xf>
    <xf borderId="11" fillId="3" fontId="5" numFmtId="0" xfId="0" applyAlignment="1" applyBorder="1" applyFont="1">
      <alignment vertical="center"/>
    </xf>
    <xf borderId="11" fillId="3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3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3" fontId="5" numFmtId="49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shrinkToFit="0" vertical="top" wrapText="1"/>
    </xf>
    <xf borderId="9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4" fillId="5" fontId="10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1" numFmtId="166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61</xdr:row>
      <xdr:rowOff>238125</xdr:rowOff>
    </xdr:from>
    <xdr:ext cx="4714875" cy="2667000"/>
    <xdr:grpSp>
      <xdr:nvGrpSpPr>
        <xdr:cNvPr id="2" name="Shape 2"/>
        <xdr:cNvGrpSpPr/>
      </xdr:nvGrpSpPr>
      <xdr:grpSpPr>
        <a:xfrm>
          <a:off x="2988563" y="2446500"/>
          <a:ext cx="4714875" cy="2667000"/>
          <a:chOff x="2988563" y="2446500"/>
          <a:chExt cx="4714875" cy="2667000"/>
        </a:xfrm>
      </xdr:grpSpPr>
      <xdr:grpSp>
        <xdr:nvGrpSpPr>
          <xdr:cNvPr id="3" name="Shape 3"/>
          <xdr:cNvGrpSpPr/>
        </xdr:nvGrpSpPr>
        <xdr:grpSpPr>
          <a:xfrm>
            <a:off x="2988563" y="2446500"/>
            <a:ext cx="4714875" cy="2667000"/>
            <a:chOff x="2988563" y="2446500"/>
            <a:chExt cx="4714875" cy="2667000"/>
          </a:xfrm>
        </xdr:grpSpPr>
        <xdr:sp>
          <xdr:nvSpPr>
            <xdr:cNvPr id="4" name="Shape 4"/>
            <xdr:cNvSpPr/>
          </xdr:nvSpPr>
          <xdr:spPr>
            <a:xfrm>
              <a:off x="2988563" y="2446500"/>
              <a:ext cx="4714875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8563" y="2446500"/>
              <a:ext cx="4714875" cy="2667000"/>
              <a:chOff x="2988563" y="2446500"/>
              <a:chExt cx="4715262" cy="2667360"/>
            </a:xfrm>
          </xdr:grpSpPr>
          <xdr:sp>
            <xdr:nvSpPr>
              <xdr:cNvPr id="6" name="Shape 6"/>
              <xdr:cNvSpPr/>
            </xdr:nvSpPr>
            <xdr:spPr>
              <a:xfrm>
                <a:off x="2988563" y="2446500"/>
                <a:ext cx="4715250" cy="266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988563" y="2446500"/>
                <a:ext cx="4715262" cy="2667360"/>
                <a:chOff x="599760" y="24144120"/>
                <a:chExt cx="4382280" cy="26676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599760" y="24144120"/>
                  <a:ext cx="4381900" cy="2667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" name="Shape 9"/>
                <xdr:cNvCxnSpPr/>
              </xdr:nvCxnSpPr>
              <xdr:spPr>
                <a:xfrm>
                  <a:off x="599760" y="24144120"/>
                  <a:ext cx="4382280" cy="26676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4A7DBA"/>
                  </a:solidFill>
                  <a:prstDash val="solid"/>
                  <a:round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>IF(C8="Simple",1,IF(C8="Intermedio",2,IF(C8="Complejo",3,"error")))</f>
        <v>3</v>
      </c>
      <c r="F8" s="25">
        <v>1.0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1" t="s">
        <v>15</v>
      </c>
      <c r="C9" s="22" t="s">
        <v>13</v>
      </c>
      <c r="D9" s="26" t="s">
        <v>16</v>
      </c>
      <c r="E9" s="24">
        <v>3.0</v>
      </c>
      <c r="F9" s="25">
        <v>1.0</v>
      </c>
      <c r="G9" s="24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13</v>
      </c>
      <c r="D10" s="23" t="s">
        <v>18</v>
      </c>
      <c r="E10" s="24">
        <f>IF(C10="Simple",1,IF(C10="Intermedio",2,IF(C10="Complejo",3,"error")))</f>
        <v>3</v>
      </c>
      <c r="F10" s="25">
        <v>1.0</v>
      </c>
      <c r="G10" s="24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 t="s">
        <v>19</v>
      </c>
      <c r="D11" s="6"/>
      <c r="E11" s="6"/>
      <c r="F11" s="7"/>
      <c r="G11" s="29">
        <f>SUM(G8:G10)</f>
        <v>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18"/>
      <c r="C12" s="30"/>
      <c r="D12" s="3"/>
      <c r="E12" s="3"/>
      <c r="F12" s="3"/>
      <c r="G12" s="31"/>
      <c r="H12" s="1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8"/>
      <c r="C13" s="32"/>
      <c r="D13" s="32"/>
      <c r="E13" s="33"/>
      <c r="F13" s="18"/>
      <c r="G13" s="18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8" t="s">
        <v>20</v>
      </c>
      <c r="B14" s="19" t="s">
        <v>21</v>
      </c>
      <c r="C14" s="19" t="s">
        <v>22</v>
      </c>
      <c r="D14" s="20" t="s">
        <v>23</v>
      </c>
      <c r="E14" s="20" t="s">
        <v>24</v>
      </c>
      <c r="F14" s="19" t="s">
        <v>9</v>
      </c>
      <c r="G14" s="17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21"/>
      <c r="C15" s="21"/>
      <c r="D15" s="34"/>
      <c r="E15" s="24"/>
      <c r="F15" s="24"/>
      <c r="G15" s="1"/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5"/>
      <c r="U15" s="1"/>
      <c r="V15" s="1"/>
      <c r="W15" s="1"/>
      <c r="X15" s="1"/>
      <c r="Y15" s="1"/>
      <c r="Z15" s="1"/>
    </row>
    <row r="16" ht="27.75" customHeight="1">
      <c r="A16" s="1"/>
      <c r="B16" s="21" t="s">
        <v>25</v>
      </c>
      <c r="C16" s="21"/>
      <c r="D16" s="34">
        <v>6.0</v>
      </c>
      <c r="E16" s="24" t="str">
        <f t="shared" ref="E16:E18" si="1">IF($D16&gt;0,IF($D16&lt;=3,"Simple",IF(AND($D16&gt;3,$D16&lt;7),"Intermedio",IF($D16&gt;=7,"Complejo","error"))),"-")</f>
        <v>Intermedio</v>
      </c>
      <c r="F16" s="24">
        <f t="shared" ref="F16:F18" si="2">IF($D16&gt;0,IF($D16&lt;=3,5,IF(AND($D16&gt;3,$D16&lt;7),10,IF($D16&gt;=7,15,"error"))),0)</f>
        <v>10</v>
      </c>
      <c r="G16" s="1"/>
      <c r="H16" s="1"/>
      <c r="I16" s="1"/>
      <c r="J16" s="1"/>
      <c r="K16" s="35"/>
      <c r="L16" s="1"/>
      <c r="M16" s="1"/>
      <c r="N16" s="1"/>
      <c r="O16" s="1"/>
      <c r="P16" s="1"/>
      <c r="Q16" s="1"/>
      <c r="R16" s="1"/>
      <c r="S16" s="1"/>
      <c r="T16" s="35"/>
      <c r="U16" s="1"/>
      <c r="V16" s="1"/>
      <c r="W16" s="1"/>
      <c r="X16" s="1"/>
      <c r="Y16" s="1"/>
      <c r="Z16" s="1"/>
    </row>
    <row r="17" ht="27.75" customHeight="1">
      <c r="A17" s="1"/>
      <c r="B17" s="21" t="s">
        <v>26</v>
      </c>
      <c r="C17" s="21"/>
      <c r="D17" s="34">
        <v>2.0</v>
      </c>
      <c r="E17" s="24" t="str">
        <f t="shared" si="1"/>
        <v>Simple</v>
      </c>
      <c r="F17" s="24">
        <f t="shared" si="2"/>
        <v>5</v>
      </c>
      <c r="G17" s="1"/>
      <c r="H17" s="1"/>
      <c r="I17" s="1"/>
      <c r="J17" s="1"/>
      <c r="K17" s="35"/>
      <c r="L17" s="1"/>
      <c r="M17" s="1"/>
      <c r="N17" s="1"/>
      <c r="O17" s="1"/>
      <c r="P17" s="1"/>
      <c r="Q17" s="1"/>
      <c r="R17" s="1"/>
      <c r="S17" s="1"/>
      <c r="T17" s="35"/>
      <c r="U17" s="1"/>
      <c r="V17" s="1"/>
      <c r="W17" s="1"/>
      <c r="X17" s="1"/>
      <c r="Y17" s="1"/>
      <c r="Z17" s="1"/>
    </row>
    <row r="18" ht="27.75" customHeight="1">
      <c r="A18" s="1"/>
      <c r="B18" s="21" t="s">
        <v>27</v>
      </c>
      <c r="C18" s="36"/>
      <c r="D18" s="37">
        <v>10.0</v>
      </c>
      <c r="E18" s="24" t="str">
        <f t="shared" si="1"/>
        <v>Complejo</v>
      </c>
      <c r="F18" s="24">
        <f t="shared" si="2"/>
        <v>15</v>
      </c>
      <c r="G18" s="1"/>
      <c r="H18" s="1"/>
      <c r="I18" s="1"/>
      <c r="J18" s="1"/>
      <c r="K18" s="35"/>
      <c r="L18" s="1"/>
      <c r="M18" s="1"/>
      <c r="N18" s="1"/>
      <c r="O18" s="1"/>
      <c r="P18" s="1"/>
      <c r="Q18" s="1"/>
      <c r="R18" s="1"/>
      <c r="S18" s="1"/>
      <c r="T18" s="35"/>
      <c r="U18" s="1"/>
      <c r="V18" s="1"/>
      <c r="W18" s="1"/>
      <c r="X18" s="1"/>
      <c r="Y18" s="1"/>
      <c r="Z18" s="1"/>
    </row>
    <row r="19" ht="27.75" customHeight="1">
      <c r="A19" s="1"/>
      <c r="B19" s="21" t="s">
        <v>28</v>
      </c>
      <c r="C19" s="36"/>
      <c r="D19" s="37">
        <v>4.0</v>
      </c>
      <c r="E19" s="24" t="s">
        <v>29</v>
      </c>
      <c r="F19" s="24">
        <v>10.0</v>
      </c>
      <c r="G19" s="1"/>
      <c r="H19" s="1"/>
      <c r="I19" s="1"/>
      <c r="J19" s="1"/>
      <c r="K19" s="35"/>
      <c r="L19" s="1"/>
      <c r="M19" s="1"/>
      <c r="N19" s="1"/>
      <c r="O19" s="1"/>
      <c r="P19" s="1"/>
      <c r="Q19" s="1"/>
      <c r="R19" s="1"/>
      <c r="S19" s="1"/>
      <c r="T19" s="35"/>
      <c r="U19" s="1"/>
      <c r="V19" s="1"/>
      <c r="W19" s="1"/>
      <c r="X19" s="1"/>
      <c r="Y19" s="1"/>
      <c r="Z19" s="1"/>
    </row>
    <row r="20" ht="27.75" customHeight="1">
      <c r="A20" s="1"/>
      <c r="B20" s="38"/>
      <c r="C20" s="39" t="s">
        <v>30</v>
      </c>
      <c r="D20" s="40"/>
      <c r="E20" s="41"/>
      <c r="F20" s="42">
        <f>SUM(F15:F19)</f>
        <v>40</v>
      </c>
      <c r="G20" s="1"/>
      <c r="H20" s="1"/>
      <c r="I20" s="1"/>
      <c r="J20" s="1"/>
      <c r="K20" s="35"/>
      <c r="L20" s="1"/>
      <c r="M20" s="1"/>
      <c r="N20" s="1"/>
      <c r="O20" s="1"/>
      <c r="P20" s="1"/>
      <c r="Q20" s="1"/>
      <c r="R20" s="1"/>
      <c r="S20" s="1"/>
      <c r="T20" s="35"/>
      <c r="U20" s="1"/>
      <c r="V20" s="1"/>
      <c r="W20" s="1"/>
      <c r="X20" s="1"/>
      <c r="Y20" s="1"/>
      <c r="Z20" s="1"/>
    </row>
    <row r="21" ht="27.75" customHeight="1">
      <c r="A21" s="1"/>
      <c r="B21" s="1"/>
      <c r="C21" s="1"/>
      <c r="D21" s="2"/>
      <c r="E21" s="3"/>
      <c r="F21" s="1"/>
      <c r="G21" s="1"/>
      <c r="H21" s="18"/>
      <c r="I21" s="1"/>
      <c r="J21" s="1"/>
      <c r="K21" s="3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1"/>
      <c r="C22" s="1"/>
      <c r="D22" s="2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8" t="s">
        <v>31</v>
      </c>
      <c r="B23" s="43"/>
      <c r="C23" s="28" t="s">
        <v>32</v>
      </c>
      <c r="D23" s="6"/>
      <c r="E23" s="7"/>
      <c r="F23" s="29">
        <f>G11+F20</f>
        <v>43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2"/>
      <c r="E24" s="3"/>
      <c r="F24" s="1"/>
      <c r="G24" s="1"/>
      <c r="H24" s="1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3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8" t="s">
        <v>33</v>
      </c>
      <c r="B26" s="20" t="s">
        <v>34</v>
      </c>
      <c r="C26" s="20" t="s">
        <v>35</v>
      </c>
      <c r="D26" s="19" t="s">
        <v>36</v>
      </c>
      <c r="E26" s="19" t="s">
        <v>9</v>
      </c>
      <c r="F26" s="19" t="s">
        <v>37</v>
      </c>
      <c r="G26" s="19" t="s">
        <v>38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44" t="s">
        <v>39</v>
      </c>
      <c r="C27" s="44" t="s">
        <v>40</v>
      </c>
      <c r="D27" s="45" t="s">
        <v>41</v>
      </c>
      <c r="E27" s="46">
        <v>2.0</v>
      </c>
      <c r="F27" s="25">
        <v>0.0</v>
      </c>
      <c r="G27" s="47">
        <f t="shared" ref="G27:G39" si="3">E27*F27</f>
        <v>0</v>
      </c>
      <c r="H27" s="1" t="s">
        <v>42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7.75" customHeight="1">
      <c r="A28" s="1"/>
      <c r="B28" s="44" t="s">
        <v>43</v>
      </c>
      <c r="C28" s="44" t="s">
        <v>40</v>
      </c>
      <c r="D28" s="48" t="s">
        <v>44</v>
      </c>
      <c r="E28" s="47">
        <v>2.0</v>
      </c>
      <c r="F28" s="25">
        <v>5.0</v>
      </c>
      <c r="G28" s="47">
        <f t="shared" si="3"/>
        <v>10</v>
      </c>
      <c r="H28" s="49" t="s">
        <v>45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44" t="s">
        <v>46</v>
      </c>
      <c r="C29" s="44" t="s">
        <v>40</v>
      </c>
      <c r="D29" s="48"/>
      <c r="E29" s="47">
        <v>1.0</v>
      </c>
      <c r="F29" s="25">
        <v>5.0</v>
      </c>
      <c r="G29" s="47">
        <f t="shared" si="3"/>
        <v>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44" t="s">
        <v>47</v>
      </c>
      <c r="C30" s="44" t="s">
        <v>40</v>
      </c>
      <c r="D30" s="45" t="s">
        <v>48</v>
      </c>
      <c r="E30" s="47">
        <v>1.0</v>
      </c>
      <c r="F30" s="25">
        <v>3.0</v>
      </c>
      <c r="G30" s="47">
        <f t="shared" si="3"/>
        <v>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75" customHeight="1">
      <c r="A31" s="1"/>
      <c r="B31" s="44" t="s">
        <v>49</v>
      </c>
      <c r="C31" s="44" t="s">
        <v>40</v>
      </c>
      <c r="D31" s="45" t="s">
        <v>50</v>
      </c>
      <c r="E31" s="46">
        <v>1.0</v>
      </c>
      <c r="F31" s="25">
        <v>0.0</v>
      </c>
      <c r="G31" s="47">
        <f t="shared" si="3"/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44" t="s">
        <v>51</v>
      </c>
      <c r="C32" s="44" t="s">
        <v>40</v>
      </c>
      <c r="D32" s="48" t="s">
        <v>52</v>
      </c>
      <c r="E32" s="46">
        <v>0.5</v>
      </c>
      <c r="F32" s="25">
        <v>3.0</v>
      </c>
      <c r="G32" s="47">
        <f t="shared" si="3"/>
        <v>1.5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44" t="s">
        <v>53</v>
      </c>
      <c r="C33" s="44" t="s">
        <v>40</v>
      </c>
      <c r="D33" s="48" t="s">
        <v>54</v>
      </c>
      <c r="E33" s="46">
        <v>0.5</v>
      </c>
      <c r="F33" s="25">
        <v>5.0</v>
      </c>
      <c r="G33" s="47">
        <f t="shared" si="3"/>
        <v>2.5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44" t="s">
        <v>55</v>
      </c>
      <c r="C34" s="44" t="s">
        <v>40</v>
      </c>
      <c r="D34" s="48" t="s">
        <v>56</v>
      </c>
      <c r="E34" s="46">
        <v>2.0</v>
      </c>
      <c r="F34" s="25">
        <v>3.0</v>
      </c>
      <c r="G34" s="47">
        <f t="shared" si="3"/>
        <v>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44" t="s">
        <v>57</v>
      </c>
      <c r="C35" s="44" t="s">
        <v>40</v>
      </c>
      <c r="D35" s="45" t="s">
        <v>58</v>
      </c>
      <c r="E35" s="46">
        <v>1.0</v>
      </c>
      <c r="F35" s="25">
        <v>0.0</v>
      </c>
      <c r="G35" s="47">
        <f t="shared" si="3"/>
        <v>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44" t="s">
        <v>59</v>
      </c>
      <c r="C36" s="44" t="s">
        <v>40</v>
      </c>
      <c r="D36" s="45"/>
      <c r="E36" s="46">
        <v>1.0</v>
      </c>
      <c r="F36" s="25">
        <v>5.0</v>
      </c>
      <c r="G36" s="47">
        <f t="shared" si="3"/>
        <v>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44" t="s">
        <v>60</v>
      </c>
      <c r="C37" s="44" t="s">
        <v>40</v>
      </c>
      <c r="D37" s="45" t="s">
        <v>61</v>
      </c>
      <c r="E37" s="47">
        <v>1.0</v>
      </c>
      <c r="F37" s="25">
        <v>5.0</v>
      </c>
      <c r="G37" s="47">
        <f t="shared" si="3"/>
        <v>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0.75" customHeight="1">
      <c r="A38" s="1"/>
      <c r="B38" s="44" t="s">
        <v>62</v>
      </c>
      <c r="C38" s="44" t="s">
        <v>40</v>
      </c>
      <c r="D38" s="45" t="s">
        <v>63</v>
      </c>
      <c r="E38" s="47">
        <v>1.0</v>
      </c>
      <c r="F38" s="25">
        <v>5.0</v>
      </c>
      <c r="G38" s="47">
        <f t="shared" si="3"/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1.5" customHeight="1">
      <c r="A39" s="1"/>
      <c r="B39" s="44" t="s">
        <v>64</v>
      </c>
      <c r="C39" s="44" t="s">
        <v>40</v>
      </c>
      <c r="D39" s="45" t="s">
        <v>65</v>
      </c>
      <c r="E39" s="46">
        <v>1.0</v>
      </c>
      <c r="F39" s="25">
        <v>4.0</v>
      </c>
      <c r="G39" s="47">
        <f t="shared" si="3"/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75" customHeight="1">
      <c r="A40" s="1"/>
      <c r="B40" s="28" t="s">
        <v>66</v>
      </c>
      <c r="C40" s="6"/>
      <c r="D40" s="6"/>
      <c r="E40" s="6"/>
      <c r="F40" s="7"/>
      <c r="G40" s="50">
        <f>SUM(G27:G39)</f>
        <v>47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28" t="s">
        <v>67</v>
      </c>
      <c r="C41" s="6"/>
      <c r="D41" s="6"/>
      <c r="E41" s="6"/>
      <c r="F41" s="7"/>
      <c r="G41" s="42">
        <f>0.6+(0.01*G40)</f>
        <v>1.07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30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1"/>
      <c r="C43" s="51"/>
      <c r="D43" s="52"/>
      <c r="E43" s="51"/>
      <c r="F43" s="51"/>
      <c r="G43" s="5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8" t="s">
        <v>68</v>
      </c>
      <c r="B44" s="20" t="s">
        <v>69</v>
      </c>
      <c r="C44" s="20" t="s">
        <v>70</v>
      </c>
      <c r="D44" s="19" t="s">
        <v>71</v>
      </c>
      <c r="E44" s="19" t="s">
        <v>9</v>
      </c>
      <c r="F44" s="19" t="s">
        <v>37</v>
      </c>
      <c r="G44" s="19" t="s">
        <v>38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64.5" customHeight="1">
      <c r="A45" s="1"/>
      <c r="B45" s="53" t="s">
        <v>72</v>
      </c>
      <c r="C45" s="44" t="s">
        <v>73</v>
      </c>
      <c r="D45" s="48" t="s">
        <v>74</v>
      </c>
      <c r="E45" s="46">
        <v>1.5</v>
      </c>
      <c r="F45" s="25">
        <v>3.0</v>
      </c>
      <c r="G45" s="47">
        <f t="shared" ref="G45:G52" si="4">E45*F45</f>
        <v>4.5</v>
      </c>
      <c r="H45" s="1" t="s">
        <v>75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51.0" customHeight="1">
      <c r="A46" s="1"/>
      <c r="B46" s="53" t="s">
        <v>76</v>
      </c>
      <c r="C46" s="44" t="s">
        <v>73</v>
      </c>
      <c r="D46" s="48" t="s">
        <v>77</v>
      </c>
      <c r="E46" s="46">
        <v>0.5</v>
      </c>
      <c r="F46" s="25">
        <v>4.0</v>
      </c>
      <c r="G46" s="47">
        <f t="shared" si="4"/>
        <v>2</v>
      </c>
      <c r="H46" s="49" t="s">
        <v>45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8.75" customHeight="1">
      <c r="A47" s="1"/>
      <c r="B47" s="53" t="s">
        <v>78</v>
      </c>
      <c r="C47" s="44" t="s">
        <v>73</v>
      </c>
      <c r="D47" s="48" t="s">
        <v>79</v>
      </c>
      <c r="E47" s="46">
        <v>1.0</v>
      </c>
      <c r="F47" s="25">
        <v>4.0</v>
      </c>
      <c r="G47" s="47">
        <f t="shared" si="4"/>
        <v>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6.5" customHeight="1">
      <c r="A48" s="1"/>
      <c r="B48" s="53" t="s">
        <v>80</v>
      </c>
      <c r="C48" s="44" t="s">
        <v>73</v>
      </c>
      <c r="D48" s="48" t="s">
        <v>81</v>
      </c>
      <c r="E48" s="46">
        <v>0.5</v>
      </c>
      <c r="F48" s="25">
        <v>3.0</v>
      </c>
      <c r="G48" s="47">
        <f t="shared" si="4"/>
        <v>1.5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7.5" customHeight="1">
      <c r="A49" s="1"/>
      <c r="B49" s="53" t="s">
        <v>82</v>
      </c>
      <c r="C49" s="44" t="s">
        <v>83</v>
      </c>
      <c r="D49" s="45" t="s">
        <v>84</v>
      </c>
      <c r="E49" s="46">
        <v>1.0</v>
      </c>
      <c r="F49" s="25">
        <v>4.0</v>
      </c>
      <c r="G49" s="47">
        <f t="shared" si="4"/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3.5" customHeight="1">
      <c r="A50" s="1"/>
      <c r="B50" s="53" t="s">
        <v>85</v>
      </c>
      <c r="C50" s="44" t="s">
        <v>86</v>
      </c>
      <c r="D50" s="45" t="s">
        <v>87</v>
      </c>
      <c r="E50" s="46">
        <v>2.0</v>
      </c>
      <c r="F50" s="25">
        <v>2.0</v>
      </c>
      <c r="G50" s="47">
        <f t="shared" si="4"/>
        <v>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71.25" customHeight="1">
      <c r="A51" s="1"/>
      <c r="B51" s="53" t="s">
        <v>88</v>
      </c>
      <c r="C51" s="44" t="s">
        <v>89</v>
      </c>
      <c r="D51" s="48" t="s">
        <v>90</v>
      </c>
      <c r="E51" s="46">
        <v>-1.0</v>
      </c>
      <c r="F51" s="25">
        <v>4.0</v>
      </c>
      <c r="G51" s="47">
        <f t="shared" si="4"/>
        <v>-4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62.25" customHeight="1">
      <c r="A52" s="1"/>
      <c r="B52" s="53" t="s">
        <v>91</v>
      </c>
      <c r="C52" s="44" t="s">
        <v>92</v>
      </c>
      <c r="D52" s="48" t="s">
        <v>93</v>
      </c>
      <c r="E52" s="46">
        <v>-1.0</v>
      </c>
      <c r="F52" s="25">
        <v>4.0</v>
      </c>
      <c r="G52" s="47">
        <f t="shared" si="4"/>
        <v>-4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8.25" customHeight="1">
      <c r="A53" s="1"/>
      <c r="B53" s="28" t="s">
        <v>94</v>
      </c>
      <c r="C53" s="6"/>
      <c r="D53" s="6"/>
      <c r="E53" s="6"/>
      <c r="F53" s="7"/>
      <c r="G53" s="19">
        <f>SUM(G45:G52)</f>
        <v>12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28" t="s">
        <v>95</v>
      </c>
      <c r="C54" s="6"/>
      <c r="D54" s="6"/>
      <c r="E54" s="6"/>
      <c r="F54" s="7"/>
      <c r="G54" s="19">
        <f>1.4 + (-0.03*G53)</f>
        <v>1.04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28"/>
      <c r="C55" s="54"/>
      <c r="D55" s="55"/>
      <c r="E55" s="54"/>
      <c r="F55" s="56" t="s">
        <v>96</v>
      </c>
      <c r="G55" s="19">
        <f>COUNTIF($F$45:$F$50,"&lt;3")+COUNTIF($F$51:$F$52,"&gt;3")</f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30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2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8" t="s">
        <v>97</v>
      </c>
      <c r="B58" s="57" t="s">
        <v>98</v>
      </c>
      <c r="C58" s="6"/>
      <c r="D58" s="6"/>
      <c r="E58" s="6"/>
      <c r="F58" s="7"/>
      <c r="G58" s="58">
        <f>F23*G41*G54</f>
        <v>47.8504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2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2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59" t="s">
        <v>99</v>
      </c>
      <c r="B61" s="20" t="s">
        <v>100</v>
      </c>
      <c r="C61" s="20" t="s">
        <v>101</v>
      </c>
      <c r="D61" s="20" t="s">
        <v>102</v>
      </c>
      <c r="E61" s="3"/>
      <c r="F61" s="1"/>
      <c r="G61" s="20" t="s">
        <v>103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1.5" customHeight="1">
      <c r="A62" s="1"/>
      <c r="B62" s="60">
        <v>20.0</v>
      </c>
      <c r="C62" s="60">
        <f>IF($G$55&gt;=5,36,IF(AND(G$55&gt;2,$G$55&lt;=4),28, IF(AND($G$55&gt;=0,$G$55&lt;=2),20,"error")))</f>
        <v>28</v>
      </c>
      <c r="D62" s="61">
        <f>IF($G$55&gt;=5,$G$62*(36/20),IF(AND($G$55&gt;2,$G$55&lt;=4),$G$62*(28/20), IF(AND($G$55&gt;=0,$G$55&lt;=2),$G$62,"error")))</f>
        <v>2.8</v>
      </c>
      <c r="E62" s="3"/>
      <c r="F62" s="1"/>
      <c r="G62" s="62">
        <v>2.0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63" t="s">
        <v>104</v>
      </c>
      <c r="C63" s="6"/>
      <c r="D63" s="7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64" t="s">
        <v>105</v>
      </c>
      <c r="B64" s="60">
        <f t="shared" ref="B64:D64" si="5">$G$58*B62</f>
        <v>957.008</v>
      </c>
      <c r="C64" s="60">
        <f t="shared" si="5"/>
        <v>1339.8112</v>
      </c>
      <c r="D64" s="60">
        <f t="shared" si="5"/>
        <v>133.98112</v>
      </c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64" t="s">
        <v>106</v>
      </c>
      <c r="B65" s="65">
        <f t="shared" ref="B65:C65" si="6">B64/(22*8)</f>
        <v>5.437545455</v>
      </c>
      <c r="C65" s="65">
        <f t="shared" si="6"/>
        <v>7.612563636</v>
      </c>
      <c r="D65" s="66">
        <f>D64/(22*3)</f>
        <v>2.03001697</v>
      </c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8" t="s">
        <v>107</v>
      </c>
      <c r="B68" s="67" t="s">
        <v>108</v>
      </c>
      <c r="C68" s="68"/>
      <c r="D68" s="55"/>
      <c r="E68" s="54"/>
      <c r="F68" s="6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43" t="s">
        <v>109</v>
      </c>
      <c r="C69" s="19" t="s">
        <v>110</v>
      </c>
      <c r="D69" s="58" t="s">
        <v>111</v>
      </c>
      <c r="E69" s="58" t="s">
        <v>112</v>
      </c>
      <c r="F69" s="58" t="s">
        <v>113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70" t="s">
        <v>114</v>
      </c>
      <c r="C70" s="71">
        <v>0.4</v>
      </c>
      <c r="D70" s="65">
        <f t="shared" ref="D70:F70" si="7">$C70/$C$70*B$65</f>
        <v>5.437545455</v>
      </c>
      <c r="E70" s="65">
        <f t="shared" si="7"/>
        <v>7.612563636</v>
      </c>
      <c r="F70" s="65">
        <f t="shared" si="7"/>
        <v>2.03001697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70" t="s">
        <v>115</v>
      </c>
      <c r="C71" s="71">
        <f>1-C70</f>
        <v>0.6</v>
      </c>
      <c r="D71" s="60">
        <f t="shared" ref="D71:F71" si="8">$C71/$C$70*B$65</f>
        <v>8.156318182</v>
      </c>
      <c r="E71" s="60">
        <f t="shared" si="8"/>
        <v>11.41884545</v>
      </c>
      <c r="F71" s="60">
        <f t="shared" si="8"/>
        <v>3.045025455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2"/>
      <c r="C72" s="71">
        <f>SUM(C70:C71)</f>
        <v>1</v>
      </c>
      <c r="D72" s="65">
        <f t="shared" ref="D72:F72" si="9">$C72/$C$70*B$65</f>
        <v>13.59386364</v>
      </c>
      <c r="E72" s="65">
        <f t="shared" si="9"/>
        <v>19.03140909</v>
      </c>
      <c r="F72" s="65">
        <f t="shared" si="9"/>
        <v>5.075042424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8" t="s">
        <v>116</v>
      </c>
      <c r="B74" s="25">
        <v>5.0</v>
      </c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8" t="s">
        <v>117</v>
      </c>
      <c r="B76" s="58" t="s">
        <v>118</v>
      </c>
      <c r="C76" s="58" t="s">
        <v>119</v>
      </c>
      <c r="D76" s="58" t="s">
        <v>120</v>
      </c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73"/>
      <c r="B77" s="74">
        <f>$D$72/$B$74</f>
        <v>2.718772727</v>
      </c>
      <c r="C77" s="74">
        <f>$E$72/$B$74</f>
        <v>3.806281818</v>
      </c>
      <c r="D77" s="74">
        <f>$F$72/$B$74</f>
        <v>1.015008485</v>
      </c>
      <c r="E77" s="73"/>
      <c r="F77" s="73"/>
      <c r="G77" s="7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73"/>
      <c r="B78" s="73"/>
      <c r="C78" s="73"/>
      <c r="D78" s="73"/>
      <c r="E78" s="75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5.75" customHeight="1">
      <c r="A79" s="73"/>
      <c r="B79" s="73"/>
      <c r="C79" s="73"/>
      <c r="D79" s="73"/>
      <c r="E79" s="75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5.75" customHeight="1">
      <c r="A80" s="73"/>
      <c r="B80" s="73"/>
      <c r="C80" s="73"/>
      <c r="D80" s="73"/>
      <c r="E80" s="75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5.75" customHeight="1">
      <c r="A81" s="73"/>
      <c r="B81" s="73"/>
      <c r="C81" s="73"/>
      <c r="D81" s="73"/>
      <c r="E81" s="75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5.75" customHeight="1">
      <c r="A82" s="73"/>
      <c r="B82" s="73"/>
      <c r="C82" s="73"/>
      <c r="D82" s="73"/>
      <c r="E82" s="75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5.75" customHeight="1">
      <c r="A83" s="73"/>
      <c r="B83" s="73"/>
      <c r="C83" s="73"/>
      <c r="D83" s="73"/>
      <c r="E83" s="75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5.75" customHeight="1">
      <c r="A84" s="73"/>
      <c r="B84" s="73"/>
      <c r="C84" s="73"/>
      <c r="D84" s="73"/>
      <c r="E84" s="75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5.75" customHeight="1">
      <c r="A85" s="73"/>
      <c r="B85" s="73"/>
      <c r="C85" s="73"/>
      <c r="D85" s="73"/>
      <c r="E85" s="75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A86" s="73"/>
      <c r="B86" s="73"/>
      <c r="C86" s="73"/>
      <c r="D86" s="73"/>
      <c r="E86" s="75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5.75" customHeight="1">
      <c r="A87" s="73"/>
      <c r="B87" s="73"/>
      <c r="C87" s="73"/>
      <c r="D87" s="73"/>
      <c r="E87" s="75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5.75" customHeight="1">
      <c r="A88" s="73"/>
      <c r="B88" s="73"/>
      <c r="C88" s="73"/>
      <c r="D88" s="73"/>
      <c r="E88" s="75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5.75" customHeight="1">
      <c r="A89" s="73"/>
      <c r="B89" s="73"/>
      <c r="C89" s="73"/>
      <c r="D89" s="73"/>
      <c r="E89" s="75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5.75" customHeight="1">
      <c r="A90" s="73"/>
      <c r="B90" s="73"/>
      <c r="C90" s="73"/>
      <c r="D90" s="73"/>
      <c r="E90" s="75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5.75" customHeight="1">
      <c r="A91" s="73"/>
      <c r="B91" s="73"/>
      <c r="C91" s="73"/>
      <c r="D91" s="73"/>
      <c r="E91" s="75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5.75" customHeight="1">
      <c r="A92" s="73"/>
      <c r="B92" s="73"/>
      <c r="C92" s="73"/>
      <c r="D92" s="73"/>
      <c r="E92" s="75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73"/>
      <c r="B93" s="73"/>
      <c r="C93" s="73"/>
      <c r="D93" s="73"/>
      <c r="E93" s="75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5.75" customHeight="1">
      <c r="A94" s="1"/>
      <c r="B94" s="1"/>
      <c r="C94" s="1"/>
      <c r="D94" s="2"/>
      <c r="E94" s="3"/>
      <c r="F94" s="1"/>
      <c r="G94" s="1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5.75" customHeight="1">
      <c r="A95" s="1"/>
      <c r="B95" s="1"/>
      <c r="C95" s="1"/>
      <c r="D95" s="2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0">
    <mergeCell ref="B54:F54"/>
    <mergeCell ref="B58:F58"/>
    <mergeCell ref="B63:D63"/>
    <mergeCell ref="B2:G2"/>
    <mergeCell ref="C11:F11"/>
    <mergeCell ref="C20:E20"/>
    <mergeCell ref="C23:E23"/>
    <mergeCell ref="B40:F40"/>
    <mergeCell ref="B41:F41"/>
    <mergeCell ref="B53:F53"/>
  </mergeCells>
  <dataValidations>
    <dataValidation type="list" allowBlank="1" showErrorMessage="1" sqref="C8:C10">
      <formula1>"Simple,Intermedio,Complejo"</formula1>
    </dataValidation>
    <dataValidation type="decimal" allowBlank="1" showInputMessage="1" showErrorMessage="1" prompt="Entre 1 y 9 personas." sqref="B74">
      <formula1>1.0</formula1>
      <formula2>9.0</formula2>
    </dataValidation>
  </dataValidations>
  <hyperlinks>
    <hyperlink r:id="rId2" location="v=onepage&amp;q=e7%20part-time%20members&amp;f=false" ref="H28"/>
    <hyperlink r:id="rId3" location="v=onepage&amp;q=e7%20part-time%20members&amp;f=false" ref="H46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