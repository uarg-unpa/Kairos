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Plantilla!$D$60</definedName>
  </definedNames>
  <calcPr/>
  <extLst>
    <ext uri="GoogleSheetsCustomDataVersion2">
      <go:sheetsCustomData xmlns:go="http://customooxmlschemas.google.com/" r:id="rId5" roundtripDataChecksum="/vTAOJNM/L+IAKJmmRnBScpoovWEFxvI75uvJ9vv3e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4">
      <text>
        <t xml:space="preserve">======
ID#AAABrntIk4A
Autor    (2023-08-29 20:18:46)
¿Hace falta consideraciones especiales para el acceso concurrente (paralelo) a datos y otros recursos?</t>
      </text>
    </comment>
    <comment authorId="0" ref="B45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46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69">
      <text>
        <t xml:space="preserve">======
ID#AAABrntIk4Q
Autor    (2023-08-29 20:18:46)
Análisis/Diseño/Pruebas/Sobrecarga</t>
      </text>
    </comment>
    <comment authorId="0" ref="B49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4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43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47">
      <text>
        <t xml:space="preserve">======
ID#AAABrntIk4Y
Autor    (2023-08-29 20:18:46)
Motivación del equipo.</t>
      </text>
    </comment>
    <comment authorId="0" ref="B72">
      <text>
        <t xml:space="preserve">======
ID#AAABrntIk38
Autor    (2023-08-29 20:18:46)
Lo debe sugerir el estimador.</t>
      </text>
    </comment>
    <comment authorId="0" ref="B30">
      <text>
        <t xml:space="preserve">======
ID#AAABrntIk4U
Autor    (2023-08-29 20:18:46)
¿La aplicación debe ser de fácil instalación (para usuarios sin capacidad técnica) o no?</t>
      </text>
    </comment>
    <comment authorId="0" ref="B27">
      <text>
        <t xml:space="preserve">======
ID#AAABrntIk34
Autor    (2023-08-29 20:18:46)
¿La aplicacion está diseñada para que el usuario incremente SU eficiencia (no solo cumpla su cometido)?</t>
      </text>
    </comment>
    <comment authorId="0" ref="B50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29">
      <text>
        <t xml:space="preserve">======
ID#AAABrntIk4g
Autor    (2023-08-29 20:18:46)
¿La aplicación requiere diseñarse para ser altamente reusable?</t>
      </text>
    </comment>
    <comment authorId="0" ref="B32">
      <text>
        <t xml:space="preserve">======
ID#AAABrntIk5E
Autor    (2023-08-29 20:18:46)
¿La aplicación, debe funcionar en más de una plataforma?</t>
      </text>
    </comment>
    <comment authorId="0" ref="B26">
      <text>
        <t xml:space="preserve">======
ID#AAABrntIk4c
Autor    (2023-08-29 20:18:46)
¿Cuál es la importancia del tiempo de respuesta de la aplicación para el usuario final?</t>
      </text>
    </comment>
    <comment authorId="0" ref="B48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33">
      <text>
        <t xml:space="preserve">======
ID#AAABrntIk40
Autor    (2023-08-29 20:18:46)
¿El cliente requiere que la aplicación se pueda cambiar fácilmente en el futuro?</t>
      </text>
    </comment>
    <comment authorId="0" ref="B31">
      <text>
        <t xml:space="preserve">======
ID#AAABrntIk4o
Autor    (2023-08-29 20:18:46)
¿Hay requerimientos especiales respecto de la facilidad de uso?</t>
      </text>
    </comment>
    <comment authorId="0" ref="B25">
      <text>
        <t xml:space="preserve">======
ID#AAABrntIk5M
Autor    (2023-08-29 20:18:46)
¿Arquitectura centralizada o distribuida?</t>
      </text>
    </comment>
    <comment authorId="0" ref="B37">
      <text>
        <t xml:space="preserve">======
ID#AAABrntIk4k
Autor    (2023-08-29 20:18:46)
¿Se requiere formación específica para los Usuarios?</t>
      </text>
    </comment>
    <comment authorId="0" ref="B66">
      <text>
        <t xml:space="preserve">======
ID#AAABrntIk5Y
Autor    (2023-08-29 20:18:46)
Esta distribución es una referencia. Proyecto a proyecto debe actualizarse mediante  ESTADISTICAS.</t>
      </text>
    </comment>
    <comment authorId="0" ref="B36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60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44">
      <text>
        <t xml:space="preserve">======
ID#AAABrntIk5U
Autor    (2023-08-29 20:18:46)
¿Ya trabajado el equipo en el area (dominio) de la aplicación?</t>
      </text>
    </comment>
    <comment authorId="0" ref="B35">
      <text>
        <t xml:space="preserve">======
ID#AAABrntIk44
Autor    (2023-08-29 20:18:46)
¿Es suficiente con las prestaciones de seguridad normales, o hace falta algo especial?</t>
      </text>
    </comment>
    <comment authorId="0" ref="B28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tL1bGlJRnrH0A8CfkYjIcb+rOHA=="/>
    </ext>
  </extLst>
</comments>
</file>

<file path=xl/sharedStrings.xml><?xml version="1.0" encoding="utf-8"?>
<sst xmlns="http://schemas.openxmlformats.org/spreadsheetml/2006/main" count="144" uniqueCount="121">
  <si>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</si>
  <si>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</si>
  <si>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</si>
  <si>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</si>
  <si>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</si>
  <si>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</si>
  <si>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</si>
  <si>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</si>
  <si>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</si>
  <si>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</si>
  <si>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</si>
  <si>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</si>
  <si>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</si>
  <si>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</si>
  <si>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</si>
  <si>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</si>
  <si>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</si>
  <si>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</si>
  <si>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</si>
  <si>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</si>
  <si>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</si>
  <si>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</si>
  <si>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</si>
  <si>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</si>
  <si>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</si>
  <si>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CU01:  Iniciar sesión</t>
  </si>
  <si>
    <t>Simple</t>
  </si>
  <si>
    <t>CU##: Gestionar tareas</t>
  </si>
  <si>
    <t>CU20:Registrar tiempo por cronómetro</t>
  </si>
  <si>
    <t>Intermedio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</si>
  <si>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</si>
  <si>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</si>
  <si>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</si>
  <si>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</si>
  <si>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</si>
  <si>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</si>
  <si>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</si>
  <si>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</si>
  <si>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</si>
  <si>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</si>
  <si>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</si>
  <si>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</si>
  <si>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</si>
  <si>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</si>
  <si>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</si>
  <si>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</si>
  <si>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</si>
  <si>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</si>
  <si>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</si>
  <si>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</si>
  <si>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</si>
  <si>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</si>
  <si>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</si>
  <si>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</si>
  <si>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</si>
  <si>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</si>
  <si>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</si>
  <si>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</si>
  <si>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</si>
  <si>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</si>
  <si>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</si>
  <si>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</si>
  <si>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</si>
  <si>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</si>
  <si>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</si>
  <si>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</si>
  <si>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</si>
  <si>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</si>
  <si>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</si>
  <si>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</si>
  <si>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</si>
  <si>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</si>
  <si>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</si>
  <si>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</si>
  <si>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tiene conocimientos basicos, logicos en este tipos de proyectos</t>
  </si>
  <si>
    <t>Ver 4.2 Use Case Point Analysis e17</t>
  </si>
  <si>
    <t>E2 Experiencia en el Dominio de Aplicación</t>
  </si>
  <si>
    <t>El equipo de desarrollo está investigando y avanzando en el dominio de aplicación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</si>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</sst>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2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Alignment="1" applyBorder="1" applyFont="1">
      <alignment readingOrder="0" vertical="center"/>
    </xf>
    <xf borderId="9" fillId="3" fontId="5" numFmtId="0" xfId="0" applyAlignment="1" applyBorder="1" applyFont="1">
      <alignment horizontal="center" readingOrder="0" vertical="center"/>
    </xf>
    <xf borderId="9" fillId="4" fontId="6" numFmtId="0" xfId="0" applyAlignment="1" applyBorder="1" applyFont="1">
      <alignment horizontal="center" readingOrder="0" shrinkToFit="0" vertical="center" wrapText="1"/>
    </xf>
    <xf borderId="0" fillId="0" fontId="4" numFmtId="49" xfId="0" applyAlignment="1" applyFont="1" applyNumberFormat="1">
      <alignment vertical="center"/>
    </xf>
    <xf borderId="11" fillId="3" fontId="5" numFmtId="0" xfId="0" applyAlignment="1" applyBorder="1" applyFont="1">
      <alignment vertical="center"/>
    </xf>
    <xf borderId="11" fillId="3" fontId="5" numFmtId="0" xfId="0" applyAlignment="1" applyBorder="1" applyFont="1">
      <alignment horizontal="center" vertical="center"/>
    </xf>
    <xf borderId="12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3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8" numFmtId="0" xfId="0" applyAlignment="1" applyFont="1">
      <alignment shrinkToFit="0" vertical="top" wrapText="1"/>
    </xf>
    <xf borderId="9" fillId="4" fontId="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4" fillId="5" fontId="10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1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59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4875" cy="266700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4875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4875" cy="2667000"/>
              <a:chOff x="2988563" y="2446500"/>
              <a:chExt cx="4715262" cy="2667360"/>
            </a:xfrm>
          </xdr:grpSpPr>
          <xdr:sp>
            <xdr:nvSpPr>
              <xdr:cNvPr id="6" name="Shape 6"/>
              <xdr:cNvSpPr/>
            </xdr:nvSpPr>
            <xdr:spPr>
              <a:xfrm>
                <a:off x="2988563" y="2446500"/>
                <a:ext cx="4715250" cy="2667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7" name="Shape 7"/>
              <xdr:cNvGrpSpPr/>
            </xdr:nvGrpSpPr>
            <xdr:grpSpPr>
              <a:xfrm>
                <a:off x="2988563" y="2446500"/>
                <a:ext cx="4715262" cy="2667360"/>
                <a:chOff x="599760" y="24144120"/>
                <a:chExt cx="4382280" cy="2667600"/>
              </a:xfrm>
            </xdr:grpSpPr>
            <xdr:sp>
              <xdr:nvSpPr>
                <xdr:cNvPr id="8" name="Shape 8"/>
                <xdr:cNvSpPr/>
              </xdr:nvSpPr>
              <xdr:spPr>
                <a:xfrm>
                  <a:off x="599760" y="24144120"/>
                  <a:ext cx="4381900" cy="26672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cxnSp>
              <xdr:nvCxnSpPr>
                <xdr:cNvPr id="9" name="Shape 9"/>
                <xdr:cNvCxnSpPr/>
              </xdr:nvCxnSpPr>
              <xdr:spPr>
                <a:xfrm>
                  <a:off x="599760" y="24144120"/>
                  <a:ext cx="4382280" cy="2667600"/>
                </a:xfrm>
                <a:prstGeom prst="straightConnector1">
                  <a:avLst/>
                </a:prstGeom>
                <a:noFill/>
                <a:ln cap="flat" cmpd="sng" w="9525">
                  <a:solidFill>
                    <a:srgbClr val="4A7DBA"/>
                  </a:solidFill>
                  <a:prstDash val="solid"/>
                  <a:round/>
                  <a:headEnd len="sm" w="sm" type="none"/>
                  <a:tailEnd len="med" w="med" type="triangle"/>
                </a:ln>
              </xdr:spPr>
            </xdr:cxnSp>
          </xdr:grp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13</v>
      </c>
      <c r="D10" s="23" t="s">
        <v>18</v>
      </c>
      <c r="E10" s="24">
        <f>IF(C10="Simple",1,IF(C10="Intermedio",2,IF(C10="Complejo",3,"error")))</f>
        <v>3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 t="s">
        <v>19</v>
      </c>
      <c r="D11" s="6"/>
      <c r="E11" s="6"/>
      <c r="F11" s="7"/>
      <c r="G11" s="29">
        <f>SUM(G8:G10)</f>
        <v>3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18"/>
      <c r="C12" s="30"/>
      <c r="D12" s="3"/>
      <c r="E12" s="3"/>
      <c r="F12" s="3"/>
      <c r="G12" s="31"/>
      <c r="H12" s="1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2"/>
      <c r="D13" s="32"/>
      <c r="E13" s="33"/>
      <c r="F13" s="18"/>
      <c r="G13" s="18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8" t="s">
        <v>20</v>
      </c>
      <c r="B14" s="19" t="s">
        <v>21</v>
      </c>
      <c r="C14" s="19" t="s">
        <v>22</v>
      </c>
      <c r="D14" s="20" t="s">
        <v>23</v>
      </c>
      <c r="E14" s="20" t="s">
        <v>24</v>
      </c>
      <c r="F14" s="19" t="s">
        <v>9</v>
      </c>
      <c r="G14" s="17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"/>
      <c r="B15" s="34" t="s">
        <v>25</v>
      </c>
      <c r="C15" s="21"/>
      <c r="D15" s="35">
        <v>2.0</v>
      </c>
      <c r="E15" s="36" t="s">
        <v>26</v>
      </c>
      <c r="F15" s="36">
        <v>5.0</v>
      </c>
      <c r="G15" s="1"/>
      <c r="H15" s="1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7"/>
      <c r="U15" s="1"/>
      <c r="V15" s="1"/>
      <c r="W15" s="1"/>
      <c r="X15" s="1"/>
      <c r="Y15" s="1"/>
      <c r="Z15" s="1"/>
    </row>
    <row r="16" ht="27.75" customHeight="1">
      <c r="A16" s="1"/>
      <c r="B16" s="21" t="s">
        <v>27</v>
      </c>
      <c r="C16" s="38"/>
      <c r="D16" s="39">
        <v>10.0</v>
      </c>
      <c r="E16" s="24" t="str">
        <f>IF($D16&gt;0,IF($D16&lt;=3,"Simple",IF(AND($D16&gt;3,$D16&lt;7),"Intermedio",IF($D16&gt;=7,"Complejo","error"))),"-")</f>
        <v>Complejo</v>
      </c>
      <c r="F16" s="24">
        <f>IF($D16&gt;0,IF($D16&lt;=3,5,IF(AND($D16&gt;3,$D16&lt;7),10,IF($D16&gt;=7,15,"error"))),0)</f>
        <v>15</v>
      </c>
      <c r="G16" s="1"/>
      <c r="H16" s="1"/>
      <c r="I16" s="1"/>
      <c r="J16" s="1"/>
      <c r="K16" s="37"/>
      <c r="L16" s="1"/>
      <c r="M16" s="1"/>
      <c r="N16" s="1"/>
      <c r="O16" s="1"/>
      <c r="P16" s="1"/>
      <c r="Q16" s="1"/>
      <c r="R16" s="1"/>
      <c r="S16" s="1"/>
      <c r="T16" s="37"/>
      <c r="U16" s="1"/>
      <c r="V16" s="1"/>
      <c r="W16" s="1"/>
      <c r="X16" s="1"/>
      <c r="Y16" s="1"/>
      <c r="Z16" s="1"/>
    </row>
    <row r="17" ht="27.75" customHeight="1">
      <c r="A17" s="1"/>
      <c r="B17" s="21" t="s">
        <v>28</v>
      </c>
      <c r="C17" s="38"/>
      <c r="D17" s="39">
        <v>4.0</v>
      </c>
      <c r="E17" s="24" t="s">
        <v>29</v>
      </c>
      <c r="F17" s="24">
        <v>10.0</v>
      </c>
      <c r="G17" s="1"/>
      <c r="H17" s="1"/>
      <c r="I17" s="1"/>
      <c r="J17" s="1"/>
      <c r="K17" s="37"/>
      <c r="L17" s="1"/>
      <c r="M17" s="1"/>
      <c r="N17" s="1"/>
      <c r="O17" s="1"/>
      <c r="P17" s="1"/>
      <c r="Q17" s="1"/>
      <c r="R17" s="1"/>
      <c r="S17" s="1"/>
      <c r="T17" s="37"/>
      <c r="U17" s="1"/>
      <c r="V17" s="1"/>
      <c r="W17" s="1"/>
      <c r="X17" s="1"/>
      <c r="Y17" s="1"/>
      <c r="Z17" s="1"/>
    </row>
    <row r="18" ht="27.75" customHeight="1">
      <c r="A18" s="1"/>
      <c r="B18" s="40"/>
      <c r="C18" s="41" t="s">
        <v>30</v>
      </c>
      <c r="D18" s="42"/>
      <c r="E18" s="43"/>
      <c r="F18" s="44">
        <f>SUM(F15:F17)</f>
        <v>30</v>
      </c>
      <c r="G18" s="1"/>
      <c r="H18" s="1"/>
      <c r="I18" s="1"/>
      <c r="J18" s="1"/>
      <c r="K18" s="37"/>
      <c r="L18" s="1"/>
      <c r="M18" s="1"/>
      <c r="N18" s="1"/>
      <c r="O18" s="1"/>
      <c r="P18" s="1"/>
      <c r="Q18" s="1"/>
      <c r="R18" s="1"/>
      <c r="S18" s="1"/>
      <c r="T18" s="37"/>
      <c r="U18" s="1"/>
      <c r="V18" s="1"/>
      <c r="W18" s="1"/>
      <c r="X18" s="1"/>
      <c r="Y18" s="1"/>
      <c r="Z18" s="1"/>
    </row>
    <row r="19" ht="27.75" customHeight="1">
      <c r="A19" s="1"/>
      <c r="B19" s="1"/>
      <c r="C19" s="1"/>
      <c r="D19" s="2"/>
      <c r="E19" s="3"/>
      <c r="F19" s="1"/>
      <c r="G19" s="1"/>
      <c r="H19" s="18"/>
      <c r="I19" s="1"/>
      <c r="J19" s="1"/>
      <c r="K19" s="3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1"/>
      <c r="C20" s="1"/>
      <c r="D20" s="2"/>
      <c r="E20" s="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8" t="s">
        <v>31</v>
      </c>
      <c r="B21" s="45"/>
      <c r="C21" s="28" t="s">
        <v>32</v>
      </c>
      <c r="D21" s="6"/>
      <c r="E21" s="7"/>
      <c r="F21" s="29">
        <f>G11+F18</f>
        <v>33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75" customHeight="1">
      <c r="A22" s="1"/>
      <c r="B22" s="1"/>
      <c r="C22" s="1"/>
      <c r="D22" s="2"/>
      <c r="E22" s="3"/>
      <c r="F22" s="1"/>
      <c r="G22" s="1"/>
      <c r="H22" s="1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75" customHeight="1">
      <c r="A23" s="1"/>
      <c r="B23" s="3"/>
      <c r="C23" s="1"/>
      <c r="D23" s="2"/>
      <c r="E23" s="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75" customHeight="1">
      <c r="A24" s="18" t="s">
        <v>33</v>
      </c>
      <c r="B24" s="20" t="s">
        <v>34</v>
      </c>
      <c r="C24" s="20" t="s">
        <v>35</v>
      </c>
      <c r="D24" s="19" t="s">
        <v>36</v>
      </c>
      <c r="E24" s="19" t="s">
        <v>9</v>
      </c>
      <c r="F24" s="19" t="s">
        <v>37</v>
      </c>
      <c r="G24" s="19" t="s">
        <v>38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75" customHeight="1">
      <c r="A25" s="1"/>
      <c r="B25" s="46" t="s">
        <v>39</v>
      </c>
      <c r="C25" s="46" t="s">
        <v>40</v>
      </c>
      <c r="D25" s="47" t="s">
        <v>41</v>
      </c>
      <c r="E25" s="48">
        <v>2.0</v>
      </c>
      <c r="F25" s="25">
        <v>0.0</v>
      </c>
      <c r="G25" s="49">
        <f t="shared" ref="G25:G37" si="1">E25*F25</f>
        <v>0</v>
      </c>
      <c r="H25" s="1" t="s">
        <v>42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27.75" customHeight="1">
      <c r="A26" s="1"/>
      <c r="B26" s="46" t="s">
        <v>43</v>
      </c>
      <c r="C26" s="46" t="s">
        <v>40</v>
      </c>
      <c r="D26" s="50" t="s">
        <v>44</v>
      </c>
      <c r="E26" s="49">
        <v>2.0</v>
      </c>
      <c r="F26" s="25">
        <v>5.0</v>
      </c>
      <c r="G26" s="49">
        <f t="shared" si="1"/>
        <v>10</v>
      </c>
      <c r="H26" s="51" t="s">
        <v>45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46" t="s">
        <v>46</v>
      </c>
      <c r="C27" s="46" t="s">
        <v>40</v>
      </c>
      <c r="D27" s="50"/>
      <c r="E27" s="49">
        <v>1.0</v>
      </c>
      <c r="F27" s="25">
        <v>5.0</v>
      </c>
      <c r="G27" s="49">
        <f t="shared" si="1"/>
        <v>5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1"/>
      <c r="B28" s="46" t="s">
        <v>47</v>
      </c>
      <c r="C28" s="46" t="s">
        <v>40</v>
      </c>
      <c r="D28" s="47" t="s">
        <v>48</v>
      </c>
      <c r="E28" s="49">
        <v>1.0</v>
      </c>
      <c r="F28" s="25">
        <v>3.0</v>
      </c>
      <c r="G28" s="49">
        <f t="shared" si="1"/>
        <v>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75" customHeight="1">
      <c r="A29" s="1"/>
      <c r="B29" s="46" t="s">
        <v>49</v>
      </c>
      <c r="C29" s="46" t="s">
        <v>40</v>
      </c>
      <c r="D29" s="47" t="s">
        <v>50</v>
      </c>
      <c r="E29" s="48">
        <v>1.0</v>
      </c>
      <c r="F29" s="25">
        <v>0.0</v>
      </c>
      <c r="G29" s="49">
        <f t="shared" si="1"/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46" t="s">
        <v>51</v>
      </c>
      <c r="C30" s="46" t="s">
        <v>40</v>
      </c>
      <c r="D30" s="50" t="s">
        <v>52</v>
      </c>
      <c r="E30" s="48">
        <v>0.5</v>
      </c>
      <c r="F30" s="25">
        <v>3.0</v>
      </c>
      <c r="G30" s="49">
        <f t="shared" si="1"/>
        <v>1.5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46" t="s">
        <v>53</v>
      </c>
      <c r="C31" s="46" t="s">
        <v>40</v>
      </c>
      <c r="D31" s="50" t="s">
        <v>54</v>
      </c>
      <c r="E31" s="48">
        <v>0.5</v>
      </c>
      <c r="F31" s="25">
        <v>5.0</v>
      </c>
      <c r="G31" s="49">
        <f t="shared" si="1"/>
        <v>2.5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"/>
      <c r="B32" s="46" t="s">
        <v>55</v>
      </c>
      <c r="C32" s="46" t="s">
        <v>40</v>
      </c>
      <c r="D32" s="50" t="s">
        <v>56</v>
      </c>
      <c r="E32" s="48">
        <v>2.0</v>
      </c>
      <c r="F32" s="25">
        <v>3.0</v>
      </c>
      <c r="G32" s="49">
        <f t="shared" si="1"/>
        <v>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46" t="s">
        <v>57</v>
      </c>
      <c r="C33" s="46" t="s">
        <v>40</v>
      </c>
      <c r="D33" s="47" t="s">
        <v>58</v>
      </c>
      <c r="E33" s="48">
        <v>1.0</v>
      </c>
      <c r="F33" s="25">
        <v>0.0</v>
      </c>
      <c r="G33" s="49">
        <f t="shared" si="1"/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46" t="s">
        <v>59</v>
      </c>
      <c r="C34" s="46" t="s">
        <v>40</v>
      </c>
      <c r="D34" s="47"/>
      <c r="E34" s="48">
        <v>1.0</v>
      </c>
      <c r="F34" s="25">
        <v>5.0</v>
      </c>
      <c r="G34" s="49">
        <f t="shared" si="1"/>
        <v>5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46" t="s">
        <v>60</v>
      </c>
      <c r="C35" s="46" t="s">
        <v>40</v>
      </c>
      <c r="D35" s="47" t="s">
        <v>61</v>
      </c>
      <c r="E35" s="49">
        <v>1.0</v>
      </c>
      <c r="F35" s="25">
        <v>5.0</v>
      </c>
      <c r="G35" s="49">
        <f t="shared" si="1"/>
        <v>5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75" customHeight="1">
      <c r="A36" s="1"/>
      <c r="B36" s="46" t="s">
        <v>62</v>
      </c>
      <c r="C36" s="46" t="s">
        <v>40</v>
      </c>
      <c r="D36" s="47" t="s">
        <v>63</v>
      </c>
      <c r="E36" s="49">
        <v>1.0</v>
      </c>
      <c r="F36" s="25">
        <v>5.0</v>
      </c>
      <c r="G36" s="49">
        <f t="shared" si="1"/>
        <v>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1.5" customHeight="1">
      <c r="A37" s="1"/>
      <c r="B37" s="46" t="s">
        <v>64</v>
      </c>
      <c r="C37" s="46" t="s">
        <v>40</v>
      </c>
      <c r="D37" s="47" t="s">
        <v>65</v>
      </c>
      <c r="E37" s="48">
        <v>1.0</v>
      </c>
      <c r="F37" s="25">
        <v>4.0</v>
      </c>
      <c r="G37" s="49">
        <f t="shared" si="1"/>
        <v>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75" customHeight="1">
      <c r="A38" s="1"/>
      <c r="B38" s="28" t="s">
        <v>66</v>
      </c>
      <c r="C38" s="6"/>
      <c r="D38" s="6"/>
      <c r="E38" s="6"/>
      <c r="F38" s="7"/>
      <c r="G38" s="52">
        <f>SUM(G25:G37)</f>
        <v>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28" t="s">
        <v>67</v>
      </c>
      <c r="C39" s="6"/>
      <c r="D39" s="6"/>
      <c r="E39" s="6"/>
      <c r="F39" s="7"/>
      <c r="G39" s="44">
        <f>0.6+(0.01*G38)</f>
        <v>1.07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30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3"/>
      <c r="C41" s="53"/>
      <c r="D41" s="54"/>
      <c r="E41" s="53"/>
      <c r="F41" s="53"/>
      <c r="G41" s="5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8" t="s">
        <v>68</v>
      </c>
      <c r="B42" s="20" t="s">
        <v>69</v>
      </c>
      <c r="C42" s="20" t="s">
        <v>70</v>
      </c>
      <c r="D42" s="19" t="s">
        <v>71</v>
      </c>
      <c r="E42" s="19" t="s">
        <v>9</v>
      </c>
      <c r="F42" s="19" t="s">
        <v>37</v>
      </c>
      <c r="G42" s="19" t="s">
        <v>38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64.5" customHeight="1">
      <c r="A43" s="1"/>
      <c r="B43" s="55" t="s">
        <v>72</v>
      </c>
      <c r="C43" s="46" t="s">
        <v>73</v>
      </c>
      <c r="D43" s="50" t="s">
        <v>74</v>
      </c>
      <c r="E43" s="48">
        <v>1.5</v>
      </c>
      <c r="F43" s="25">
        <v>3.0</v>
      </c>
      <c r="G43" s="49">
        <f t="shared" ref="G43:G50" si="2">E43*F43</f>
        <v>4.5</v>
      </c>
      <c r="H43" s="1" t="s">
        <v>75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51.0" customHeight="1">
      <c r="A44" s="1"/>
      <c r="B44" s="55" t="s">
        <v>76</v>
      </c>
      <c r="C44" s="46" t="s">
        <v>73</v>
      </c>
      <c r="D44" s="50" t="s">
        <v>77</v>
      </c>
      <c r="E44" s="48">
        <v>0.5</v>
      </c>
      <c r="F44" s="25">
        <v>4.0</v>
      </c>
      <c r="G44" s="49">
        <f t="shared" si="2"/>
        <v>2</v>
      </c>
      <c r="H44" s="51" t="s">
        <v>45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48.75" customHeight="1">
      <c r="A45" s="1"/>
      <c r="B45" s="55" t="s">
        <v>78</v>
      </c>
      <c r="C45" s="46" t="s">
        <v>73</v>
      </c>
      <c r="D45" s="50" t="s">
        <v>79</v>
      </c>
      <c r="E45" s="48">
        <v>1.0</v>
      </c>
      <c r="F45" s="25">
        <v>4.0</v>
      </c>
      <c r="G45" s="49">
        <f t="shared" si="2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46.5" customHeight="1">
      <c r="A46" s="1"/>
      <c r="B46" s="55" t="s">
        <v>80</v>
      </c>
      <c r="C46" s="46" t="s">
        <v>73</v>
      </c>
      <c r="D46" s="50" t="s">
        <v>81</v>
      </c>
      <c r="E46" s="48">
        <v>0.5</v>
      </c>
      <c r="F46" s="25">
        <v>3.0</v>
      </c>
      <c r="G46" s="49">
        <f t="shared" si="2"/>
        <v>1.5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7.5" customHeight="1">
      <c r="A47" s="1"/>
      <c r="B47" s="55" t="s">
        <v>82</v>
      </c>
      <c r="C47" s="46" t="s">
        <v>83</v>
      </c>
      <c r="D47" s="47" t="s">
        <v>84</v>
      </c>
      <c r="E47" s="48">
        <v>1.0</v>
      </c>
      <c r="F47" s="25">
        <v>4.0</v>
      </c>
      <c r="G47" s="49">
        <f t="shared" si="2"/>
        <v>4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3.5" customHeight="1">
      <c r="A48" s="1"/>
      <c r="B48" s="55" t="s">
        <v>85</v>
      </c>
      <c r="C48" s="46" t="s">
        <v>86</v>
      </c>
      <c r="D48" s="47" t="s">
        <v>87</v>
      </c>
      <c r="E48" s="48">
        <v>2.0</v>
      </c>
      <c r="F48" s="25">
        <v>2.0</v>
      </c>
      <c r="G48" s="49">
        <f t="shared" si="2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71.25" customHeight="1">
      <c r="A49" s="1"/>
      <c r="B49" s="55" t="s">
        <v>88</v>
      </c>
      <c r="C49" s="46" t="s">
        <v>89</v>
      </c>
      <c r="D49" s="50" t="s">
        <v>90</v>
      </c>
      <c r="E49" s="48">
        <v>-1.0</v>
      </c>
      <c r="F49" s="25">
        <v>4.0</v>
      </c>
      <c r="G49" s="49">
        <f t="shared" si="2"/>
        <v>-4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62.25" customHeight="1">
      <c r="A50" s="1"/>
      <c r="B50" s="55" t="s">
        <v>91</v>
      </c>
      <c r="C50" s="46" t="s">
        <v>92</v>
      </c>
      <c r="D50" s="50" t="s">
        <v>93</v>
      </c>
      <c r="E50" s="48">
        <v>-1.0</v>
      </c>
      <c r="F50" s="25">
        <v>4.0</v>
      </c>
      <c r="G50" s="49">
        <f t="shared" si="2"/>
        <v>-4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8.25" customHeight="1">
      <c r="A51" s="1"/>
      <c r="B51" s="28" t="s">
        <v>94</v>
      </c>
      <c r="C51" s="6"/>
      <c r="D51" s="6"/>
      <c r="E51" s="6"/>
      <c r="F51" s="7"/>
      <c r="G51" s="19">
        <f>SUM(G43:G50)</f>
        <v>12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28" t="s">
        <v>95</v>
      </c>
      <c r="C52" s="6"/>
      <c r="D52" s="6"/>
      <c r="E52" s="6"/>
      <c r="F52" s="7"/>
      <c r="G52" s="19">
        <f>1.4 + (-0.03*G51)</f>
        <v>1.04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"/>
      <c r="B53" s="28"/>
      <c r="C53" s="56"/>
      <c r="D53" s="57"/>
      <c r="E53" s="56"/>
      <c r="F53" s="58" t="s">
        <v>96</v>
      </c>
      <c r="G53" s="19">
        <f>COUNTIF($F$43:$F$48,"&lt;3")+COUNTIF($F$49:$F$50,"&gt;3")</f>
        <v>3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"/>
      <c r="B54" s="30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75" customHeight="1">
      <c r="A55" s="1"/>
      <c r="B55" s="1"/>
      <c r="C55" s="1"/>
      <c r="D55" s="2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75" customHeight="1">
      <c r="A56" s="18" t="s">
        <v>97</v>
      </c>
      <c r="B56" s="59" t="s">
        <v>98</v>
      </c>
      <c r="C56" s="6"/>
      <c r="D56" s="6"/>
      <c r="E56" s="6"/>
      <c r="F56" s="7"/>
      <c r="G56" s="60">
        <f>F21*G39*G52</f>
        <v>36.7224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75" customHeight="1">
      <c r="A57" s="1"/>
      <c r="B57" s="1"/>
      <c r="C57" s="1"/>
      <c r="D57" s="2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1"/>
      <c r="C58" s="1"/>
      <c r="D58" s="2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61" t="s">
        <v>99</v>
      </c>
      <c r="B59" s="20" t="s">
        <v>100</v>
      </c>
      <c r="C59" s="20" t="s">
        <v>101</v>
      </c>
      <c r="D59" s="20" t="s">
        <v>102</v>
      </c>
      <c r="E59" s="3"/>
      <c r="F59" s="1"/>
      <c r="G59" s="20" t="s">
        <v>103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1.5" customHeight="1">
      <c r="A60" s="1"/>
      <c r="B60" s="62">
        <v>20.0</v>
      </c>
      <c r="C60" s="62">
        <f>IF($G$53&gt;=5,36,IF(AND(G$53&gt;2,$G$53&lt;=4),28, IF(AND($G$53&gt;=0,$G$53&lt;=2),20,"error")))</f>
        <v>28</v>
      </c>
      <c r="D60" s="63">
        <f>IF($G$53&gt;=5,$G$60*(36/20),IF(AND($G$53&gt;2,$G$53&lt;=4),$G$60*(28/20), IF(AND($G$53&gt;=0,$G$53&lt;=2),$G$60,"error")))</f>
        <v>2.8</v>
      </c>
      <c r="E60" s="3"/>
      <c r="F60" s="1"/>
      <c r="G60" s="64">
        <v>2.0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65" t="s">
        <v>104</v>
      </c>
      <c r="C61" s="6"/>
      <c r="D61" s="7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66" t="s">
        <v>105</v>
      </c>
      <c r="B62" s="62">
        <f t="shared" ref="B62:D62" si="3">$G$56*B60</f>
        <v>734.448</v>
      </c>
      <c r="C62" s="62">
        <f t="shared" si="3"/>
        <v>1028.2272</v>
      </c>
      <c r="D62" s="62">
        <f t="shared" si="3"/>
        <v>102.82272</v>
      </c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66" t="s">
        <v>106</v>
      </c>
      <c r="B63" s="67">
        <f t="shared" ref="B63:C63" si="4">B62/(22*8)</f>
        <v>4.173</v>
      </c>
      <c r="C63" s="67">
        <f t="shared" si="4"/>
        <v>5.8422</v>
      </c>
      <c r="D63" s="68">
        <f>D62/(22*3)</f>
        <v>1.55792</v>
      </c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1"/>
      <c r="C64" s="1"/>
      <c r="D64" s="2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1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8" t="s">
        <v>107</v>
      </c>
      <c r="B66" s="69" t="s">
        <v>108</v>
      </c>
      <c r="C66" s="70"/>
      <c r="D66" s="57"/>
      <c r="E66" s="56"/>
      <c r="F66" s="7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45" t="s">
        <v>109</v>
      </c>
      <c r="C67" s="19" t="s">
        <v>110</v>
      </c>
      <c r="D67" s="60" t="s">
        <v>111</v>
      </c>
      <c r="E67" s="60" t="s">
        <v>112</v>
      </c>
      <c r="F67" s="60" t="s">
        <v>113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2" t="s">
        <v>114</v>
      </c>
      <c r="C68" s="73">
        <v>0.4</v>
      </c>
      <c r="D68" s="67">
        <f t="shared" ref="D68:F68" si="5">$C68/$C$68*B$63</f>
        <v>4.173</v>
      </c>
      <c r="E68" s="67">
        <f t="shared" si="5"/>
        <v>5.8422</v>
      </c>
      <c r="F68" s="67">
        <f t="shared" si="5"/>
        <v>1.55792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72" t="s">
        <v>115</v>
      </c>
      <c r="C69" s="73">
        <f>1-C68</f>
        <v>0.6</v>
      </c>
      <c r="D69" s="62">
        <f t="shared" ref="D69:F69" si="6">$C69/$C$68*B$63</f>
        <v>6.2595</v>
      </c>
      <c r="E69" s="62">
        <f t="shared" si="6"/>
        <v>8.7633</v>
      </c>
      <c r="F69" s="62">
        <f t="shared" si="6"/>
        <v>2.33688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1"/>
      <c r="B70" s="74"/>
      <c r="C70" s="73">
        <f>SUM(C68:C69)</f>
        <v>1</v>
      </c>
      <c r="D70" s="67">
        <f t="shared" ref="D70:F70" si="7">$C70/$C$68*B$63</f>
        <v>10.4325</v>
      </c>
      <c r="E70" s="67">
        <f t="shared" si="7"/>
        <v>14.6055</v>
      </c>
      <c r="F70" s="67">
        <f t="shared" si="7"/>
        <v>3.8948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1"/>
      <c r="C71" s="1"/>
      <c r="D71" s="2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8" t="s">
        <v>116</v>
      </c>
      <c r="B72" s="25">
        <v>5.0</v>
      </c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1"/>
      <c r="C73" s="1"/>
      <c r="D73" s="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18" t="s">
        <v>117</v>
      </c>
      <c r="B74" s="60" t="s">
        <v>118</v>
      </c>
      <c r="C74" s="60" t="s">
        <v>119</v>
      </c>
      <c r="D74" s="60" t="s">
        <v>120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75"/>
      <c r="B75" s="76">
        <f>$D$70/$B$72</f>
        <v>2.0865</v>
      </c>
      <c r="C75" s="76">
        <f>$E$70/$B$72</f>
        <v>2.9211</v>
      </c>
      <c r="D75" s="76">
        <f>$F$70/$B$72</f>
        <v>0.77896</v>
      </c>
      <c r="E75" s="75"/>
      <c r="F75" s="75"/>
      <c r="G75" s="7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75"/>
      <c r="B76" s="75"/>
      <c r="C76" s="75"/>
      <c r="D76" s="75"/>
      <c r="E76" s="77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5.75" customHeight="1">
      <c r="A77" s="75"/>
      <c r="B77" s="75"/>
      <c r="C77" s="75"/>
      <c r="D77" s="75"/>
      <c r="E77" s="77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5.75" customHeight="1">
      <c r="A78" s="75"/>
      <c r="B78" s="75"/>
      <c r="C78" s="75"/>
      <c r="D78" s="75"/>
      <c r="E78" s="77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5.75" customHeight="1">
      <c r="A79" s="75"/>
      <c r="B79" s="75"/>
      <c r="C79" s="75"/>
      <c r="D79" s="75"/>
      <c r="E79" s="77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5.75" customHeight="1">
      <c r="A80" s="75"/>
      <c r="B80" s="75"/>
      <c r="C80" s="75"/>
      <c r="D80" s="75"/>
      <c r="E80" s="77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5.75" customHeight="1">
      <c r="A81" s="75"/>
      <c r="B81" s="75"/>
      <c r="C81" s="75"/>
      <c r="D81" s="75"/>
      <c r="E81" s="77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5.75" customHeight="1">
      <c r="A82" s="75"/>
      <c r="B82" s="75"/>
      <c r="C82" s="75"/>
      <c r="D82" s="75"/>
      <c r="E82" s="77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5.75" customHeight="1">
      <c r="A83" s="75"/>
      <c r="B83" s="75"/>
      <c r="C83" s="75"/>
      <c r="D83" s="75"/>
      <c r="E83" s="77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5.75" customHeight="1">
      <c r="A84" s="75"/>
      <c r="B84" s="75"/>
      <c r="C84" s="75"/>
      <c r="D84" s="75"/>
      <c r="E84" s="77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5.75" customHeight="1">
      <c r="A85" s="75"/>
      <c r="B85" s="75"/>
      <c r="C85" s="75"/>
      <c r="D85" s="75"/>
      <c r="E85" s="77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5.75" customHeight="1">
      <c r="A86" s="75"/>
      <c r="B86" s="75"/>
      <c r="C86" s="75"/>
      <c r="D86" s="75"/>
      <c r="E86" s="77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5.75" customHeight="1">
      <c r="A87" s="75"/>
      <c r="B87" s="75"/>
      <c r="C87" s="75"/>
      <c r="D87" s="75"/>
      <c r="E87" s="77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5.75" customHeight="1">
      <c r="A88" s="75"/>
      <c r="B88" s="75"/>
      <c r="C88" s="75"/>
      <c r="D88" s="75"/>
      <c r="E88" s="77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5.75" customHeight="1">
      <c r="A89" s="75"/>
      <c r="B89" s="75"/>
      <c r="C89" s="75"/>
      <c r="D89" s="75"/>
      <c r="E89" s="77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5.75" customHeight="1">
      <c r="A90" s="75"/>
      <c r="B90" s="75"/>
      <c r="C90" s="75"/>
      <c r="D90" s="75"/>
      <c r="E90" s="77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5.75" customHeight="1">
      <c r="A91" s="75"/>
      <c r="B91" s="75"/>
      <c r="C91" s="75"/>
      <c r="D91" s="75"/>
      <c r="E91" s="77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5.75" customHeight="1">
      <c r="A92" s="1"/>
      <c r="B92" s="1"/>
      <c r="C92" s="1"/>
      <c r="D92" s="2"/>
      <c r="E92" s="3"/>
      <c r="F92" s="1"/>
      <c r="G92" s="1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5.75" customHeight="1">
      <c r="A93" s="1"/>
      <c r="B93" s="1"/>
      <c r="C93" s="1"/>
      <c r="D93" s="2"/>
      <c r="E93" s="3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2"/>
      <c r="E94" s="3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2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2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2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2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2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2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2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2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0">
    <mergeCell ref="B52:F52"/>
    <mergeCell ref="B56:F56"/>
    <mergeCell ref="B61:D61"/>
    <mergeCell ref="B2:G2"/>
    <mergeCell ref="C11:F11"/>
    <mergeCell ref="C18:E18"/>
    <mergeCell ref="C21:E21"/>
    <mergeCell ref="B38:F38"/>
    <mergeCell ref="B39:F39"/>
    <mergeCell ref="B51:F51"/>
  </mergeCells>
  <dataValidations>
    <dataValidation type="list" allowBlank="1" showErrorMessage="1" sqref="C8:C10">
      <formula1>"Simple,Intermedio,Complejo"</formula1>
    </dataValidation>
    <dataValidation type="decimal" allowBlank="1" showInputMessage="1" showErrorMessage="1" prompt="Entre 1 y 9 personas." sqref="B72">
      <formula1>1.0</formula1>
      <formula2>9.0</formula2>
    </dataValidation>
  </dataValidations>
  <hyperlinks>
    <hyperlink r:id="rId2" location="v=onepage&amp;q=e7%20part-time%20members&amp;f=false" ref="H26"/>
    <hyperlink r:id="rId3" location="v=onepage&amp;q=e7%20part-time%20members&amp;f=false" ref="H44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