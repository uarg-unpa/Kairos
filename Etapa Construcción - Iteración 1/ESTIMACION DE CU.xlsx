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tilla" sheetId="1" r:id="rId4"/>
  </sheets>
  <definedNames>
    <definedName localSheetId="0" name="solver_eng">1</definedName>
    <definedName localSheetId="0" name="solver_neg">1</definedName>
    <definedName localSheetId="0" name="solver_num">0</definedName>
    <definedName localSheetId="0" name="solver_typ">1</definedName>
    <definedName localSheetId="0" name="solver_val">0</definedName>
    <definedName localSheetId="0" name="solver_ver">3</definedName>
    <definedName localSheetId="0" name="solver_opt">Plantilla!$D$60</definedName>
  </definedNames>
  <calcPr/>
  <extLst>
    <ext uri="GoogleSheetsCustomDataVersion2">
      <go:sheetsCustomData xmlns:go="http://customooxmlschemas.google.com/" r:id="rId5" roundtripDataChecksum="/vTAOJNM/L+IAKJmmRnBScpoovWEFxvI75uvJ9vv3e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4">
      <text>
        <t xml:space="preserve">======
ID#AAABrntIk4A
Autor    (2023-08-29 20:18:46)
¿Hace falta consideraciones especiales para el acceso concurrente (paralelo) a datos y otros recursos?</t>
      </text>
    </comment>
    <comment authorId="0" ref="B45">
      <text>
        <t xml:space="preserve">======
ID#AAABrntIk4I
Autor    (2023-08-29 20:18:46)
Se refiere exclusivamente a la experiencia en el análisis, modelado, diseño y progrmación  mediante el paradigma de OO.</t>
      </text>
    </comment>
    <comment authorId="0" ref="B46">
      <text>
        <t xml:space="preserve">======
ID#AAABrntIk4E
Autor    (2023-08-29 20:18:46)
Se refiere a la experiencia en el análisis de requerimientos y modelado orientado a objetos del Analista Principal.</t>
      </text>
    </comment>
    <comment authorId="0" ref="B69">
      <text>
        <t xml:space="preserve">======
ID#AAABrntIk4Q
Autor    (2023-08-29 20:18:46)
Análisis/Diseño/Pruebas/Sobrecarga</t>
      </text>
    </comment>
    <comment authorId="0" ref="B49">
      <text>
        <t xml:space="preserve">======
ID#AAABrntIk30
Autor    (2023-08-29 20:18:46)
Este es un factor con signo opuesto a los factores E6 y anteriores. Cuanto mayor la evaluación, peor el resultado.</t>
      </text>
    </comment>
    <comment authorId="0" ref="C14">
      <text>
        <t xml:space="preserve">======
ID#AAABrntIk4M
Ejemplo    (2023-08-29 20:18:46)
contar transacciones
Flujo.Ppal.: transacciones 1, 2, 3, 4. 
Flujo Alt.: 0 transaccioines. 
Excepciones.: N/A -&gt; 0 transacciones
-&gt; suma = 4 transacciones</t>
      </text>
    </comment>
    <comment authorId="0" ref="B43">
      <text>
        <t xml:space="preserve">======
ID#AAABrntIk3w
Autor    (2023-08-29 20:18:46)
Debe reflejar el hecho de que el equipo conoce el proceso y el lenguaje de modelado (p.ej.: RUP, UML). Puede ser cualquier otro proceso.</t>
      </text>
    </comment>
    <comment authorId="0" ref="B47">
      <text>
        <t xml:space="preserve">======
ID#AAABrntIk4Y
Autor    (2023-08-29 20:18:46)
Motivación del equipo.</t>
      </text>
    </comment>
    <comment authorId="0" ref="B72">
      <text>
        <t xml:space="preserve">======
ID#AAABrntIk38
Autor    (2023-08-29 20:18:46)
Lo debe sugerir el estimador.</t>
      </text>
    </comment>
    <comment authorId="0" ref="B30">
      <text>
        <t xml:space="preserve">======
ID#AAABrntIk4U
Autor    (2023-08-29 20:18:46)
¿La aplicación debe ser de fácil instalación (para usuarios sin capacidad técnica) o no?</t>
      </text>
    </comment>
    <comment authorId="0" ref="B27">
      <text>
        <t xml:space="preserve">======
ID#AAABrntIk34
Autor    (2023-08-29 20:18:46)
¿La aplicacion está diseñada para que el usuario incremente SU eficiencia (no solo cumpla su cometido)?</t>
      </text>
    </comment>
    <comment authorId="0" ref="B50">
      <text>
        <t xml:space="preserve">======
ID#AAABrntIk5A
Autor    (2023-08-29 20:18:46)
Este es un factor con signo opuesto a los factores E6 y anteriores. Cuanto mayor la evaluación, peor el resultado.</t>
      </text>
    </comment>
    <comment authorId="0" ref="C7">
      <text>
        <t xml:space="preserve">======
ID#AAABrntIk5I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29">
      <text>
        <t xml:space="preserve">======
ID#AAABrntIk4g
Autor    (2023-08-29 20:18:46)
¿La aplicación requiere diseñarse para ser altamente reusable?</t>
      </text>
    </comment>
    <comment authorId="0" ref="B32">
      <text>
        <t xml:space="preserve">======
ID#AAABrntIk5E
Autor    (2023-08-29 20:18:46)
¿La aplicación, debe funcionar en más de una plataforma?</t>
      </text>
    </comment>
    <comment authorId="0" ref="B26">
      <text>
        <t xml:space="preserve">======
ID#AAABrntIk4c
Autor    (2023-08-29 20:18:46)
¿Cuál es la importancia del tiempo de respuesta de la aplicación para el usuario final?</t>
      </text>
    </comment>
    <comment authorId="0" ref="B48">
      <text>
        <t xml:space="preserve">======
ID#AAABrntIk5Q
Autor    (2023-08-29 20:18:46)
Evalúa si los analistas han sido capaces de mantener estables los requerimientos en el pasado, minimizando los cambios del software.</t>
      </text>
    </comment>
    <comment authorId="0" ref="B33">
      <text>
        <t xml:space="preserve">======
ID#AAABrntIk40
Autor    (2023-08-29 20:18:46)
¿El cliente requiere que la aplicación se pueda cambiar fácilmente en el futuro?</t>
      </text>
    </comment>
    <comment authorId="0" ref="B31">
      <text>
        <t xml:space="preserve">======
ID#AAABrntIk4o
Autor    (2023-08-29 20:18:46)
¿Hay requerimientos especiales respecto de la facilidad de uso?</t>
      </text>
    </comment>
    <comment authorId="0" ref="B25">
      <text>
        <t xml:space="preserve">======
ID#AAABrntIk5M
Autor    (2023-08-29 20:18:46)
¿Arquitectura centralizada o distribuida?</t>
      </text>
    </comment>
    <comment authorId="0" ref="B37">
      <text>
        <t xml:space="preserve">======
ID#AAABrntIk4k
Autor    (2023-08-29 20:18:46)
¿Se requiere formación específica para los Usuarios?</t>
      </text>
    </comment>
    <comment authorId="0" ref="B66">
      <text>
        <t xml:space="preserve">======
ID#AAABrntIk5Y
Autor    (2023-08-29 20:18:46)
Esta distribución es una referencia. Proyecto a proyecto debe actualizarse mediante  ESTADISTICAS.</t>
      </text>
    </comment>
    <comment authorId="0" ref="B36">
      <text>
        <t xml:space="preserve">======
ID#AAABrntIk48
Autor    (2023-08-29 20:18:46)
¿Nuestro código usará componentes COTS, librerías frameworks ya desarrollados? Si así fuera, reducirá la carga de trabajo de desarrollo.</t>
      </text>
    </comment>
    <comment authorId="0" ref="G60">
      <text>
        <t xml:space="preserve">======
ID#AAABrntIk4w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B44">
      <text>
        <t xml:space="preserve">======
ID#AAABrntIk5U
Autor    (2023-08-29 20:18:46)
¿Ya trabajado el equipo en el area (dominio) de la aplicación?</t>
      </text>
    </comment>
    <comment authorId="0" ref="B35">
      <text>
        <t xml:space="preserve">======
ID#AAABrntIk44
Autor    (2023-08-29 20:18:46)
¿Es suficiente con las prestaciones de seguridad normales, o hace falta algo especial?</t>
      </text>
    </comment>
    <comment authorId="0" ref="B28">
      <text>
        <t xml:space="preserve">======
ID#AAABrntIk4s
Autor    (2023-08-29 20:18:46)
¿La aplicación requiere de algoritmos complejos?</t>
      </text>
    </comment>
  </commentList>
  <extLst>
    <ext uri="GoogleSheetsCustomDataVersion2">
      <go:sheetsCustomData xmlns:go="http://customooxmlschemas.google.com/" r:id="rId1" roundtripDataSignature="AMtx7mjtL1bGlJRnrH0A8CfkYjIcb+rOHA=="/>
    </ext>
  </extLst>
</comments>
</file>

<file path=xl/sharedStrings.xml><?xml version="1.0" encoding="utf-8"?>
<sst xmlns="http://schemas.openxmlformats.org/spreadsheetml/2006/main" count="142" uniqueCount="119">
  <si>
    <t>ESTIMACIÓN por PUNTOS de CASO de USO</t>
  </si>
  <si>
    <t>Proyecto:</t>
  </si>
  <si>
    <t>Kairos</t>
  </si>
  <si>
    <t>Gestor de Proyecto:</t>
  </si>
  <si>
    <t xml:space="preserve"> Valeria Centurion, Gillermo Escalante, Florencia Mendez, Agustina  Maldonado, Gonzalo Ulloa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</si>
  <si>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</si>
  <si>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</si>
  <si>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</si>
  <si>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</si>
  <si>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</si>
  <si>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</si>
  <si>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</si>
  <si>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Líder del Proyecto</t>
  </si>
  <si>
    <t>Complejo</t>
  </si>
  <si>
    <t>Usuario con acceso total al sistema</t>
  </si>
  <si>
    <t>Administrador</t>
  </si>
  <si>
    <t>Usuario con acceso a vistas</t>
  </si>
  <si>
    <t>Miembro</t>
  </si>
  <si>
    <t>Sistema de inicio de sesión que interactua con el sistema</t>
  </si>
  <si>
    <t xml:space="preserve">Peso Total Actores, sin ajustar (UAW) </t>
  </si>
  <si>
    <t>2. PESO DE LOS CU</t>
  </si>
  <si>
    <t>Casos de Uso</t>
  </si>
  <si>
    <t>Comentario</t>
  </si>
  <si>
    <t>Número de transacciones</t>
  </si>
  <si>
    <t>Complejidad</t>
  </si>
  <si>
    <t>CU##: Gestionar tareas</t>
  </si>
  <si>
    <t>CU20:Registrar tiempo por cronómetro</t>
  </si>
  <si>
    <t>Intermedio</t>
  </si>
  <si>
    <t xml:space="preserve">Peso Total CU, sin ajustar (UUCW) </t>
  </si>
  <si>
    <t>3. PCU SIN AJUSTE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</si>
  <si>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</si>
  <si>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</si>
  <si>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</si>
  <si>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</si>
  <si>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</si>
  <si>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</si>
  <si>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</si>
  <si>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T1  Sistema Distribuido</t>
  </si>
  <si>
    <t>0=no importante  5=esencial</t>
  </si>
  <si>
    <t>Para nuestro sistema no es importante</t>
  </si>
  <si>
    <t>Ver 4.2 Use Case Point Analysis e11</t>
  </si>
  <si>
    <t>T2  Objetivos de Desempeño o Tiempo de Respuesta</t>
  </si>
  <si>
    <t>Si es importante para el funcionamiento del sistema</t>
  </si>
  <si>
    <t>Object-Oriented Analysis and Design for Information Systems: Modeling with UML, OCL, and IFML</t>
  </si>
  <si>
    <t>T3  Eficiencia Usuario Final</t>
  </si>
  <si>
    <t>T4  Procesamiento Interno Complejo</t>
  </si>
  <si>
    <t>Se considera de complejidad media</t>
  </si>
  <si>
    <t>T5  Código Debe Ser Reusable</t>
  </si>
  <si>
    <t>No hace falta</t>
  </si>
  <si>
    <t>T6  Facilidad de Instalación</t>
  </si>
  <si>
    <t>Debe ser fácil de instalar</t>
  </si>
  <si>
    <t>T7  Facilidad de Uso</t>
  </si>
  <si>
    <t>Debe ser fácil de usar para el publico dirigido</t>
  </si>
  <si>
    <t>T8  Portabilidad</t>
  </si>
  <si>
    <t>Necesario para que sea compatible en diversas plataformas</t>
  </si>
  <si>
    <t>T9  Facilidad de Cambio</t>
  </si>
  <si>
    <t>Las funcionalidades son estaticas</t>
  </si>
  <si>
    <t>T10 Concurrencia</t>
  </si>
  <si>
    <t>T11 Incluye Características Especiales de Seguridad</t>
  </si>
  <si>
    <t>La autenticación es necesaria</t>
  </si>
  <si>
    <t>T12 Acceso Directo a Código de Terceros</t>
  </si>
  <si>
    <t>Si interactúa con diferentes sistemas</t>
  </si>
  <si>
    <t>T13 Necesidades de formación para los Usuarios</t>
  </si>
  <si>
    <t>Debera tener capacitacion</t>
  </si>
  <si>
    <t xml:space="preserve">Factores Técnicos: TF = ∑ (Peso * Evaluacion ) </t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</si>
  <si>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</si>
  <si>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</si>
  <si>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</si>
  <si>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</si>
  <si>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</si>
  <si>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E1 Familiaridad con un Proceso Definido</t>
  </si>
  <si>
    <t>0 = sin experiencia, 3=media, 5=experto</t>
  </si>
  <si>
    <t>El equipo tiene conocimientos basicos, logicos en este tipos de proyectos</t>
  </si>
  <si>
    <t>Ver 4.2 Use Case Point Analysis e17</t>
  </si>
  <si>
    <t>E2 Experiencia en el Dominio de Aplicación</t>
  </si>
  <si>
    <t>El equipo de desarrollo está investigando y avanzando en el dominio de aplicación</t>
  </si>
  <si>
    <t>E3 Experiencia en Orientación a Objetos</t>
  </si>
  <si>
    <t>El equipo cuenta con la experiencia en POO</t>
  </si>
  <si>
    <t>E4 Capacidad de Liderazgo del  Analista Principal</t>
  </si>
  <si>
    <t>El equipo cuenta con habilidades basicas de liderazgo</t>
  </si>
  <si>
    <t>E5 Motivación</t>
  </si>
  <si>
    <t>0=sin, 3=media, 5=alta</t>
  </si>
  <si>
    <t>El equipo esta dispuesto</t>
  </si>
  <si>
    <t>E6 Requerimientos Estables</t>
  </si>
  <si>
    <t>0=extremadamente inestable, 5=no cambian</t>
  </si>
  <si>
    <t>Los requerimientos son un poco estables</t>
  </si>
  <si>
    <t>E7 Miembros a Tiempo Parcial</t>
  </si>
  <si>
    <t>0=0% tiempo parcial, 1=h/10% t. parcial, 2=h/20% t. parcial, 3=h/40% t. parcial, 4=h/60% t. parcial, 5= más de 60% t. parcial</t>
  </si>
  <si>
    <t>Todos los miembros trabajaran a tiempo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</si>
  <si>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</si>
  <si>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</si>
  <si>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>Se empezó a investigar  y poner en práctica el framework angular</t>
  </si>
  <si>
    <t xml:space="preserve">Factores Ambientales: EF = ∑ (Peso * Evaluacion ) 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</si>
  <si>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</si>
  <si>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t>FPA desfavorables</t>
  </si>
  <si>
    <t>6. PCU AJUSTADOS</t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</si>
  <si>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</si>
  <si>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</si>
  <si>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</si>
  <si>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</si>
  <si>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</si>
  <si>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</si>
  <si>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</si>
  <si>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</si>
  <si>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Esfuerzo (mes-h)</t>
  </si>
  <si>
    <t>8. ESFUERZO TOTAL</t>
  </si>
  <si>
    <t>Distribución Esfuerzo por Tarea</t>
  </si>
  <si>
    <t>Actividad</t>
  </si>
  <si>
    <t>Porcentaje</t>
  </si>
  <si>
    <t>Karner
(m-h)</t>
  </si>
  <si>
    <t>Sch&amp;Win
(m-h)</t>
  </si>
  <si>
    <t>Propia
(m-h)</t>
  </si>
  <si>
    <t>Codificación</t>
  </si>
  <si>
    <t>Actividades restantes</t>
  </si>
  <si>
    <t>9. NUMERO PERSONAS</t>
  </si>
  <si>
    <t>10. DURACION PROYECTO</t>
  </si>
  <si>
    <t>Karner
(m)</t>
  </si>
  <si>
    <t>Sch&amp;Win
(m)</t>
  </si>
  <si>
    <t>Propia
(m)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</si>
</sst>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0.0000"/>
    <numFmt numFmtId="166" formatCode="0\ %"/>
  </numFmts>
  <fonts count="12">
    <font>
      <sz val="10.0"/>
      <color rgb="FF000000"/>
      <name val="Arial"/>
      <scheme val="minor"/>
    </font>
    <font>
      <sz val="12.0"/>
      <color theme="1"/>
      <name val="Calibri"/>
    </font>
    <font>
      <b/>
      <sz val="16.0"/>
      <color theme="1"/>
      <name val="Calibri"/>
    </font>
    <font/>
    <font>
      <b/>
      <sz val="12.0"/>
      <color theme="1"/>
      <name val="Calibri"/>
    </font>
    <font>
      <sz val="12.0"/>
      <color rgb="FF3F3F76"/>
      <name val="Calibri"/>
    </font>
    <font>
      <b/>
      <sz val="12.0"/>
      <color rgb="FFFA7D00"/>
      <name val="Calibri"/>
    </font>
    <font>
      <b/>
      <sz val="12.0"/>
      <color rgb="FF3F3F3F"/>
      <name val="Calibri"/>
    </font>
    <font>
      <u/>
      <sz val="10.0"/>
      <color theme="10"/>
      <name val="Arial"/>
    </font>
    <font>
      <b/>
      <sz val="11.0"/>
      <color rgb="FFFA7D00"/>
      <name val="Calibri"/>
    </font>
    <font>
      <b/>
      <sz val="12.0"/>
      <color rgb="FF002060"/>
      <name val="Calibri"/>
    </font>
    <font>
      <b/>
      <sz val="12.0"/>
      <color rgb="FF3F3F76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3F3F3F"/>
      </left>
      <right style="thin">
        <color rgb="FF3F3F3F"/>
      </right>
      <top/>
      <bottom style="thin">
        <color rgb="FF3F3F3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1" numFmtId="49" xfId="0" applyAlignment="1" applyFont="1" applyNumberFormat="1">
      <alignment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horizontal="left" vertical="center"/>
    </xf>
    <xf borderId="4" fillId="0" fontId="4" numFmtId="0" xfId="0" applyAlignment="1" applyBorder="1" applyFont="1">
      <alignment horizontal="left" vertical="center"/>
    </xf>
    <xf borderId="0" fillId="0" fontId="4" numFmtId="0" xfId="0" applyAlignment="1" applyFont="1">
      <alignment horizontal="center" vertical="center"/>
    </xf>
    <xf borderId="5" fillId="0" fontId="4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left" vertical="center"/>
    </xf>
    <xf borderId="7" fillId="0" fontId="1" numFmtId="0" xfId="0" applyAlignment="1" applyBorder="1" applyFont="1">
      <alignment vertical="center"/>
    </xf>
    <xf borderId="7" fillId="0" fontId="4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9" fillId="2" fontId="4" numFmtId="0" xfId="0" applyAlignment="1" applyBorder="1" applyFill="1" applyFont="1">
      <alignment horizontal="center" shrinkToFit="0" vertical="center" wrapText="1"/>
    </xf>
    <xf borderId="9" fillId="2" fontId="4" numFmtId="49" xfId="0" applyAlignment="1" applyBorder="1" applyFont="1" applyNumberFormat="1">
      <alignment horizontal="center" shrinkToFit="0" vertical="center" wrapText="1"/>
    </xf>
    <xf borderId="9" fillId="3" fontId="5" numFmtId="0" xfId="0" applyAlignment="1" applyBorder="1" applyFill="1" applyFont="1">
      <alignment vertical="center"/>
    </xf>
    <xf borderId="9" fillId="3" fontId="5" numFmtId="49" xfId="0" applyAlignment="1" applyBorder="1" applyFont="1" applyNumberFormat="1">
      <alignment vertical="center"/>
    </xf>
    <xf borderId="9" fillId="3" fontId="5" numFmtId="0" xfId="0" applyAlignment="1" applyBorder="1" applyFont="1">
      <alignment shrinkToFit="0" vertical="center" wrapText="1"/>
    </xf>
    <xf borderId="9" fillId="4" fontId="6" numFmtId="0" xfId="0" applyAlignment="1" applyBorder="1" applyFill="1" applyFont="1">
      <alignment horizontal="center" shrinkToFit="0" vertical="center" wrapText="1"/>
    </xf>
    <xf borderId="9" fillId="3" fontId="5" numFmtId="0" xfId="0" applyAlignment="1" applyBorder="1" applyFont="1">
      <alignment horizontal="center" shrinkToFit="0" vertical="center" wrapText="1"/>
    </xf>
    <xf borderId="10" fillId="3" fontId="5" numFmtId="0" xfId="0" applyAlignment="1" applyBorder="1" applyFont="1">
      <alignment shrinkToFit="0" vertical="center" wrapText="1"/>
    </xf>
    <xf borderId="9" fillId="0" fontId="4" numFmtId="0" xfId="0" applyAlignment="1" applyBorder="1" applyFont="1">
      <alignment shrinkToFit="0" vertical="center" wrapText="1"/>
    </xf>
    <xf borderId="1" fillId="0" fontId="4" numFmtId="49" xfId="0" applyAlignment="1" applyBorder="1" applyFont="1" applyNumberFormat="1">
      <alignment horizontal="right" shrinkToFit="0" vertical="center" wrapText="1"/>
    </xf>
    <xf borderId="9" fillId="4" fontId="7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right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4" numFmtId="49" xfId="0" applyAlignment="1" applyFont="1" applyNumberFormat="1">
      <alignment shrinkToFit="0" vertical="center" wrapText="1"/>
    </xf>
    <xf borderId="0" fillId="0" fontId="4" numFmtId="0" xfId="0" applyAlignment="1" applyFont="1">
      <alignment horizontal="right" shrinkToFit="0" vertical="center" wrapText="1"/>
    </xf>
    <xf borderId="9" fillId="3" fontId="5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vertical="center"/>
    </xf>
    <xf borderId="11" fillId="3" fontId="5" numFmtId="0" xfId="0" applyAlignment="1" applyBorder="1" applyFont="1">
      <alignment vertical="center"/>
    </xf>
    <xf borderId="11" fillId="3" fontId="5" numFmtId="0" xfId="0" applyAlignment="1" applyBorder="1" applyFont="1">
      <alignment horizontal="center" vertical="center"/>
    </xf>
    <xf borderId="12" fillId="0" fontId="4" numFmtId="0" xfId="0" applyAlignment="1" applyBorder="1" applyFont="1">
      <alignment shrinkToFit="0" vertical="center" wrapText="1"/>
    </xf>
    <xf borderId="6" fillId="0" fontId="4" numFmtId="49" xfId="0" applyAlignment="1" applyBorder="1" applyFont="1" applyNumberFormat="1">
      <alignment horizontal="right" shrinkToFit="0" vertical="center" wrapText="1"/>
    </xf>
    <xf borderId="7" fillId="0" fontId="3" numFmtId="0" xfId="0" applyBorder="1" applyFont="1"/>
    <xf borderId="8" fillId="0" fontId="3" numFmtId="0" xfId="0" applyBorder="1" applyFont="1"/>
    <xf borderId="13" fillId="4" fontId="7" numFmtId="0" xfId="0" applyAlignment="1" applyBorder="1" applyFont="1">
      <alignment horizontal="center" shrinkToFit="0" vertical="center" wrapText="1"/>
    </xf>
    <xf borderId="9" fillId="2" fontId="4" numFmtId="0" xfId="0" applyAlignment="1" applyBorder="1" applyFont="1">
      <alignment shrinkToFit="0" vertical="center" wrapText="1"/>
    </xf>
    <xf borderId="9" fillId="0" fontId="1" numFmtId="49" xfId="0" applyAlignment="1" applyBorder="1" applyFont="1" applyNumberFormat="1">
      <alignment shrinkToFit="0" vertical="center" wrapText="1"/>
    </xf>
    <xf borderId="9" fillId="3" fontId="5" numFmtId="49" xfId="0" applyAlignment="1" applyBorder="1" applyFont="1" applyNumberFormat="1">
      <alignment horizontal="left" vertical="center"/>
    </xf>
    <xf borderId="9" fillId="4" fontId="1" numFmtId="49" xfId="0" applyAlignment="1" applyBorder="1" applyFont="1" applyNumberFormat="1">
      <alignment horizontal="center" shrinkToFit="0" vertical="center" wrapText="1"/>
    </xf>
    <xf borderId="9" fillId="4" fontId="1" numFmtId="0" xfId="0" applyAlignment="1" applyBorder="1" applyFont="1">
      <alignment horizontal="center" shrinkToFit="0" vertical="center" wrapText="1"/>
    </xf>
    <xf borderId="9" fillId="3" fontId="5" numFmtId="49" xfId="0" applyAlignment="1" applyBorder="1" applyFont="1" applyNumberFormat="1">
      <alignment horizontal="left" shrinkToFit="0" vertical="center" wrapText="1"/>
    </xf>
    <xf borderId="0" fillId="0" fontId="8" numFmtId="0" xfId="0" applyAlignment="1" applyFont="1">
      <alignment shrinkToFit="0" vertical="top" wrapText="1"/>
    </xf>
    <xf borderId="9" fillId="4" fontId="9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9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horizontal="right" shrinkToFit="0" vertical="center" wrapText="1"/>
    </xf>
    <xf borderId="2" fillId="0" fontId="1" numFmtId="49" xfId="0" applyAlignment="1" applyBorder="1" applyFont="1" applyNumberFormat="1">
      <alignment shrinkToFit="0" vertical="center" wrapText="1"/>
    </xf>
    <xf borderId="2" fillId="0" fontId="4" numFmtId="0" xfId="0" applyAlignment="1" applyBorder="1" applyFont="1">
      <alignment horizontal="right" vertical="center"/>
    </xf>
    <xf borderId="1" fillId="0" fontId="4" numFmtId="0" xfId="0" applyAlignment="1" applyBorder="1" applyFont="1">
      <alignment horizontal="right" shrinkToFit="0" vertical="center" wrapText="1"/>
    </xf>
    <xf borderId="9" fillId="2" fontId="4" numFmtId="164" xfId="0" applyAlignment="1" applyBorder="1" applyFont="1" applyNumberFormat="1">
      <alignment horizontal="center" shrinkToFit="0" vertical="center" wrapText="1"/>
    </xf>
    <xf borderId="14" fillId="5" fontId="10" numFmtId="0" xfId="0" applyAlignment="1" applyBorder="1" applyFill="1" applyFont="1">
      <alignment shrinkToFit="0" vertical="center" wrapText="1"/>
    </xf>
    <xf borderId="9" fillId="2" fontId="1" numFmtId="164" xfId="0" applyAlignment="1" applyBorder="1" applyFont="1" applyNumberFormat="1">
      <alignment horizontal="center" vertical="center"/>
    </xf>
    <xf borderId="9" fillId="2" fontId="1" numFmtId="2" xfId="0" applyAlignment="1" applyBorder="1" applyFont="1" applyNumberFormat="1">
      <alignment horizontal="center" vertical="center"/>
    </xf>
    <xf borderId="9" fillId="3" fontId="5" numFmtId="164" xfId="0" applyAlignment="1" applyBorder="1" applyFont="1" applyNumberFormat="1">
      <alignment horizontal="center" shrinkToFit="0" vertical="center" wrapText="1"/>
    </xf>
    <xf borderId="1" fillId="2" fontId="4" numFmtId="49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9" fillId="2" fontId="4" numFmtId="164" xfId="0" applyAlignment="1" applyBorder="1" applyFont="1" applyNumberFormat="1">
      <alignment horizontal="center" vertical="center"/>
    </xf>
    <xf borderId="9" fillId="2" fontId="4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shrinkToFit="0" vertical="center" wrapText="1"/>
    </xf>
    <xf borderId="9" fillId="2" fontId="1" numFmtId="0" xfId="0" applyAlignment="1" applyBorder="1" applyFont="1">
      <alignment horizontal="left" shrinkToFit="0" vertical="center" wrapText="1"/>
    </xf>
    <xf borderId="9" fillId="3" fontId="11" numFmtId="166" xfId="0" applyAlignment="1" applyBorder="1" applyFont="1" applyNumberFormat="1">
      <alignment horizontal="center" shrinkToFit="0" vertical="center" wrapText="1"/>
    </xf>
    <xf borderId="9" fillId="2" fontId="1" numFmtId="0" xfId="0" applyAlignment="1" applyBorder="1" applyFont="1">
      <alignment shrinkToFit="0" vertical="center" wrapText="1"/>
    </xf>
    <xf borderId="0" fillId="0" fontId="1" numFmtId="2" xfId="0" applyAlignment="1" applyFont="1" applyNumberFormat="1">
      <alignment shrinkToFit="0" vertical="center" wrapText="1"/>
    </xf>
    <xf borderId="9" fillId="0" fontId="1" numFmtId="164" xfId="0" applyAlignment="1" applyBorder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590550</xdr:colOff>
      <xdr:row>59</xdr:row>
      <xdr:rowOff>238125</xdr:rowOff>
    </xdr:from>
    <xdr:ext cx="4714875" cy="2667000"/>
    <xdr:grpSp>
      <xdr:nvGrpSpPr>
        <xdr:cNvPr id="2" name="Shape 2"/>
        <xdr:cNvGrpSpPr/>
      </xdr:nvGrpSpPr>
      <xdr:grpSpPr>
        <a:xfrm>
          <a:off x="2988563" y="2446500"/>
          <a:ext cx="4714875" cy="2667000"/>
          <a:chOff x="2988563" y="2446500"/>
          <a:chExt cx="4714875" cy="2667000"/>
        </a:xfrm>
      </xdr:grpSpPr>
      <xdr:grpSp>
        <xdr:nvGrpSpPr>
          <xdr:cNvPr id="3" name="Shape 3"/>
          <xdr:cNvGrpSpPr/>
        </xdr:nvGrpSpPr>
        <xdr:grpSpPr>
          <a:xfrm>
            <a:off x="2988563" y="2446500"/>
            <a:ext cx="4714875" cy="2667000"/>
            <a:chOff x="2988563" y="2446500"/>
            <a:chExt cx="4714875" cy="2667000"/>
          </a:xfrm>
        </xdr:grpSpPr>
        <xdr:sp>
          <xdr:nvSpPr>
            <xdr:cNvPr id="4" name="Shape 4"/>
            <xdr:cNvSpPr/>
          </xdr:nvSpPr>
          <xdr:spPr>
            <a:xfrm>
              <a:off x="2988563" y="2446500"/>
              <a:ext cx="4714875" cy="26670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2988563" y="2446500"/>
              <a:ext cx="4714875" cy="2667000"/>
              <a:chOff x="2988563" y="2446500"/>
              <a:chExt cx="4715262" cy="2667360"/>
            </a:xfrm>
          </xdr:grpSpPr>
          <xdr:sp>
            <xdr:nvSpPr>
              <xdr:cNvPr id="6" name="Shape 6"/>
              <xdr:cNvSpPr/>
            </xdr:nvSpPr>
            <xdr:spPr>
              <a:xfrm>
                <a:off x="2988563" y="2446500"/>
                <a:ext cx="4715250" cy="26673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7" name="Shape 7"/>
              <xdr:cNvGrpSpPr/>
            </xdr:nvGrpSpPr>
            <xdr:grpSpPr>
              <a:xfrm>
                <a:off x="2988563" y="2446500"/>
                <a:ext cx="4715262" cy="2667360"/>
                <a:chOff x="599760" y="24144120"/>
                <a:chExt cx="4382280" cy="2667600"/>
              </a:xfrm>
            </xdr:grpSpPr>
            <xdr:sp>
              <xdr:nvSpPr>
                <xdr:cNvPr id="8" name="Shape 8"/>
                <xdr:cNvSpPr/>
              </xdr:nvSpPr>
              <xdr:spPr>
                <a:xfrm>
                  <a:off x="599760" y="24144120"/>
                  <a:ext cx="4381900" cy="26672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cxnSp>
              <xdr:nvCxnSpPr>
                <xdr:cNvPr id="9" name="Shape 9"/>
                <xdr:cNvCxnSpPr/>
              </xdr:nvCxnSpPr>
              <xdr:spPr>
                <a:xfrm>
                  <a:off x="599760" y="24144120"/>
                  <a:ext cx="4382280" cy="2667600"/>
                </a:xfrm>
                <a:prstGeom prst="straightConnector1">
                  <a:avLst/>
                </a:prstGeom>
                <a:noFill/>
                <a:ln cap="flat" cmpd="sng" w="9525">
                  <a:solidFill>
                    <a:srgbClr val="4A7DBA"/>
                  </a:solidFill>
                  <a:prstDash val="solid"/>
                  <a:round/>
                  <a:headEnd len="sm" w="sm" type="none"/>
                  <a:tailEnd len="med" w="med" type="triangle"/>
                </a:ln>
              </xdr:spPr>
            </xdr:cxnSp>
          </xdr:grpSp>
        </xdr:grpSp>
      </xdr:grp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38"/>
    <col customWidth="1" min="2" max="2" width="4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4" t="s">
        <v>2</v>
      </c>
      <c r="D3" s="10"/>
      <c r="E3" s="10"/>
      <c r="F3" s="10"/>
      <c r="G3" s="11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2" t="s">
        <v>3</v>
      </c>
      <c r="C4" s="13" t="s">
        <v>4</v>
      </c>
      <c r="D4" s="14"/>
      <c r="E4" s="14"/>
      <c r="F4" s="14"/>
      <c r="G4" s="15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6"/>
      <c r="C5" s="1"/>
      <c r="D5" s="17"/>
      <c r="E5" s="17"/>
      <c r="F5" s="17"/>
      <c r="G5" s="17"/>
      <c r="H5" s="1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8" t="s">
        <v>5</v>
      </c>
      <c r="B7" s="19" t="s">
        <v>6</v>
      </c>
      <c r="C7" s="20" t="s">
        <v>7</v>
      </c>
      <c r="D7" s="20" t="s">
        <v>8</v>
      </c>
      <c r="E7" s="19" t="s">
        <v>9</v>
      </c>
      <c r="F7" s="19" t="s">
        <v>10</v>
      </c>
      <c r="G7" s="19" t="s">
        <v>11</v>
      </c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7.75" customHeight="1">
      <c r="A8" s="1"/>
      <c r="B8" s="21" t="s">
        <v>12</v>
      </c>
      <c r="C8" s="22" t="s">
        <v>13</v>
      </c>
      <c r="D8" s="23" t="s">
        <v>14</v>
      </c>
      <c r="E8" s="24">
        <f>IF(C8="Simple",1,IF(C8="Intermedio",2,IF(C8="Complejo",3,"error")))</f>
        <v>3</v>
      </c>
      <c r="F8" s="25">
        <v>1.0</v>
      </c>
      <c r="G8" s="24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1" t="s">
        <v>15</v>
      </c>
      <c r="C9" s="22" t="s">
        <v>13</v>
      </c>
      <c r="D9" s="26" t="s">
        <v>16</v>
      </c>
      <c r="E9" s="24">
        <v>3.0</v>
      </c>
      <c r="F9" s="25">
        <v>1.0</v>
      </c>
      <c r="G9" s="24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1" t="s">
        <v>17</v>
      </c>
      <c r="C10" s="22" t="s">
        <v>13</v>
      </c>
      <c r="D10" s="23" t="s">
        <v>18</v>
      </c>
      <c r="E10" s="24">
        <f>IF(C10="Simple",1,IF(C10="Intermedio",2,IF(C10="Complejo",3,"error")))</f>
        <v>3</v>
      </c>
      <c r="F10" s="25">
        <v>1.0</v>
      </c>
      <c r="G10" s="24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7"/>
      <c r="C11" s="28" t="s">
        <v>19</v>
      </c>
      <c r="D11" s="6"/>
      <c r="E11" s="6"/>
      <c r="F11" s="7"/>
      <c r="G11" s="29">
        <f>SUM(G8:G10)</f>
        <v>3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18"/>
      <c r="C12" s="30"/>
      <c r="D12" s="3"/>
      <c r="E12" s="3"/>
      <c r="F12" s="3"/>
      <c r="G12" s="31"/>
      <c r="H12" s="1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18"/>
      <c r="C13" s="32"/>
      <c r="D13" s="32"/>
      <c r="E13" s="33"/>
      <c r="F13" s="18"/>
      <c r="G13" s="18"/>
      <c r="H13" s="1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8" t="s">
        <v>20</v>
      </c>
      <c r="B14" s="19" t="s">
        <v>21</v>
      </c>
      <c r="C14" s="19" t="s">
        <v>22</v>
      </c>
      <c r="D14" s="20" t="s">
        <v>23</v>
      </c>
      <c r="E14" s="20" t="s">
        <v>24</v>
      </c>
      <c r="F14" s="19" t="s">
        <v>9</v>
      </c>
      <c r="G14" s="17"/>
      <c r="H14" s="1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1"/>
      <c r="B15" s="21"/>
      <c r="C15" s="21"/>
      <c r="D15" s="34"/>
      <c r="E15" s="24"/>
      <c r="F15" s="24"/>
      <c r="G15" s="1"/>
      <c r="H15" s="1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35"/>
      <c r="U15" s="1"/>
      <c r="V15" s="1"/>
      <c r="W15" s="1"/>
      <c r="X15" s="1"/>
      <c r="Y15" s="1"/>
      <c r="Z15" s="1"/>
    </row>
    <row r="16" ht="27.75" customHeight="1">
      <c r="A16" s="1"/>
      <c r="B16" s="21" t="s">
        <v>25</v>
      </c>
      <c r="C16" s="36"/>
      <c r="D16" s="37">
        <v>10.0</v>
      </c>
      <c r="E16" s="24" t="str">
        <f>IF($D16&gt;0,IF($D16&lt;=3,"Simple",IF(AND($D16&gt;3,$D16&lt;7),"Intermedio",IF($D16&gt;=7,"Complejo","error"))),"-")</f>
        <v>Complejo</v>
      </c>
      <c r="F16" s="24">
        <f>IF($D16&gt;0,IF($D16&lt;=3,5,IF(AND($D16&gt;3,$D16&lt;7),10,IF($D16&gt;=7,15,"error"))),0)</f>
        <v>15</v>
      </c>
      <c r="G16" s="1"/>
      <c r="H16" s="1"/>
      <c r="I16" s="1"/>
      <c r="J16" s="1"/>
      <c r="K16" s="35"/>
      <c r="L16" s="1"/>
      <c r="M16" s="1"/>
      <c r="N16" s="1"/>
      <c r="O16" s="1"/>
      <c r="P16" s="1"/>
      <c r="Q16" s="1"/>
      <c r="R16" s="1"/>
      <c r="S16" s="1"/>
      <c r="T16" s="35"/>
      <c r="U16" s="1"/>
      <c r="V16" s="1"/>
      <c r="W16" s="1"/>
      <c r="X16" s="1"/>
      <c r="Y16" s="1"/>
      <c r="Z16" s="1"/>
    </row>
    <row r="17" ht="27.75" customHeight="1">
      <c r="A17" s="1"/>
      <c r="B17" s="21" t="s">
        <v>26</v>
      </c>
      <c r="C17" s="36"/>
      <c r="D17" s="37">
        <v>4.0</v>
      </c>
      <c r="E17" s="24" t="s">
        <v>27</v>
      </c>
      <c r="F17" s="24">
        <v>10.0</v>
      </c>
      <c r="G17" s="1"/>
      <c r="H17" s="1"/>
      <c r="I17" s="1"/>
      <c r="J17" s="1"/>
      <c r="K17" s="35"/>
      <c r="L17" s="1"/>
      <c r="M17" s="1"/>
      <c r="N17" s="1"/>
      <c r="O17" s="1"/>
      <c r="P17" s="1"/>
      <c r="Q17" s="1"/>
      <c r="R17" s="1"/>
      <c r="S17" s="1"/>
      <c r="T17" s="35"/>
      <c r="U17" s="1"/>
      <c r="V17" s="1"/>
      <c r="W17" s="1"/>
      <c r="X17" s="1"/>
      <c r="Y17" s="1"/>
      <c r="Z17" s="1"/>
    </row>
    <row r="18" ht="27.75" customHeight="1">
      <c r="A18" s="1"/>
      <c r="B18" s="38"/>
      <c r="C18" s="39" t="s">
        <v>28</v>
      </c>
      <c r="D18" s="40"/>
      <c r="E18" s="41"/>
      <c r="F18" s="42">
        <f>SUM(F15:F17)</f>
        <v>25</v>
      </c>
      <c r="G18" s="1"/>
      <c r="H18" s="1"/>
      <c r="I18" s="1"/>
      <c r="J18" s="1"/>
      <c r="K18" s="35"/>
      <c r="L18" s="1"/>
      <c r="M18" s="1"/>
      <c r="N18" s="1"/>
      <c r="O18" s="1"/>
      <c r="P18" s="1"/>
      <c r="Q18" s="1"/>
      <c r="R18" s="1"/>
      <c r="S18" s="1"/>
      <c r="T18" s="35"/>
      <c r="U18" s="1"/>
      <c r="V18" s="1"/>
      <c r="W18" s="1"/>
      <c r="X18" s="1"/>
      <c r="Y18" s="1"/>
      <c r="Z18" s="1"/>
    </row>
    <row r="19" ht="27.75" customHeight="1">
      <c r="A19" s="1"/>
      <c r="B19" s="1"/>
      <c r="C19" s="1"/>
      <c r="D19" s="2"/>
      <c r="E19" s="3"/>
      <c r="F19" s="1"/>
      <c r="G19" s="1"/>
      <c r="H19" s="18"/>
      <c r="I19" s="1"/>
      <c r="J19" s="1"/>
      <c r="K19" s="3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75" customHeight="1">
      <c r="A20" s="1"/>
      <c r="B20" s="1"/>
      <c r="C20" s="1"/>
      <c r="D20" s="2"/>
      <c r="E20" s="3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8" t="s">
        <v>29</v>
      </c>
      <c r="B21" s="43"/>
      <c r="C21" s="28" t="s">
        <v>30</v>
      </c>
      <c r="D21" s="6"/>
      <c r="E21" s="7"/>
      <c r="F21" s="29">
        <f>G11+F18</f>
        <v>28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75" customHeight="1">
      <c r="A22" s="1"/>
      <c r="B22" s="1"/>
      <c r="C22" s="1"/>
      <c r="D22" s="2"/>
      <c r="E22" s="3"/>
      <c r="F22" s="1"/>
      <c r="G22" s="1"/>
      <c r="H22" s="1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75" customHeight="1">
      <c r="A23" s="1"/>
      <c r="B23" s="3"/>
      <c r="C23" s="1"/>
      <c r="D23" s="2"/>
      <c r="E23" s="3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75" customHeight="1">
      <c r="A24" s="18" t="s">
        <v>31</v>
      </c>
      <c r="B24" s="20" t="s">
        <v>32</v>
      </c>
      <c r="C24" s="20" t="s">
        <v>33</v>
      </c>
      <c r="D24" s="19" t="s">
        <v>34</v>
      </c>
      <c r="E24" s="19" t="s">
        <v>9</v>
      </c>
      <c r="F24" s="19" t="s">
        <v>35</v>
      </c>
      <c r="G24" s="19" t="s">
        <v>36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75" customHeight="1">
      <c r="A25" s="1"/>
      <c r="B25" s="44" t="s">
        <v>37</v>
      </c>
      <c r="C25" s="44" t="s">
        <v>38</v>
      </c>
      <c r="D25" s="45" t="s">
        <v>39</v>
      </c>
      <c r="E25" s="46">
        <v>2.0</v>
      </c>
      <c r="F25" s="25">
        <v>0.0</v>
      </c>
      <c r="G25" s="47">
        <f t="shared" ref="G25:G37" si="1">E25*F25</f>
        <v>0</v>
      </c>
      <c r="H25" s="1" t="s">
        <v>40</v>
      </c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27.75" customHeight="1">
      <c r="A26" s="1"/>
      <c r="B26" s="44" t="s">
        <v>41</v>
      </c>
      <c r="C26" s="44" t="s">
        <v>38</v>
      </c>
      <c r="D26" s="48" t="s">
        <v>42</v>
      </c>
      <c r="E26" s="47">
        <v>2.0</v>
      </c>
      <c r="F26" s="25">
        <v>5.0</v>
      </c>
      <c r="G26" s="47">
        <f t="shared" si="1"/>
        <v>10</v>
      </c>
      <c r="H26" s="49" t="s">
        <v>43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44" t="s">
        <v>44</v>
      </c>
      <c r="C27" s="44" t="s">
        <v>38</v>
      </c>
      <c r="D27" s="48"/>
      <c r="E27" s="47">
        <v>1.0</v>
      </c>
      <c r="F27" s="25">
        <v>5.0</v>
      </c>
      <c r="G27" s="47">
        <f t="shared" si="1"/>
        <v>5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75" customHeight="1">
      <c r="A28" s="1"/>
      <c r="B28" s="44" t="s">
        <v>45</v>
      </c>
      <c r="C28" s="44" t="s">
        <v>38</v>
      </c>
      <c r="D28" s="45" t="s">
        <v>46</v>
      </c>
      <c r="E28" s="47">
        <v>1.0</v>
      </c>
      <c r="F28" s="25">
        <v>3.0</v>
      </c>
      <c r="G28" s="47">
        <f t="shared" si="1"/>
        <v>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75" customHeight="1">
      <c r="A29" s="1"/>
      <c r="B29" s="44" t="s">
        <v>47</v>
      </c>
      <c r="C29" s="44" t="s">
        <v>38</v>
      </c>
      <c r="D29" s="45" t="s">
        <v>48</v>
      </c>
      <c r="E29" s="46">
        <v>1.0</v>
      </c>
      <c r="F29" s="25">
        <v>0.0</v>
      </c>
      <c r="G29" s="47">
        <f t="shared" si="1"/>
        <v>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75" customHeight="1">
      <c r="A30" s="1"/>
      <c r="B30" s="44" t="s">
        <v>49</v>
      </c>
      <c r="C30" s="44" t="s">
        <v>38</v>
      </c>
      <c r="D30" s="48" t="s">
        <v>50</v>
      </c>
      <c r="E30" s="46">
        <v>0.5</v>
      </c>
      <c r="F30" s="25">
        <v>3.0</v>
      </c>
      <c r="G30" s="47">
        <f t="shared" si="1"/>
        <v>1.5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44" t="s">
        <v>51</v>
      </c>
      <c r="C31" s="44" t="s">
        <v>38</v>
      </c>
      <c r="D31" s="48" t="s">
        <v>52</v>
      </c>
      <c r="E31" s="46">
        <v>0.5</v>
      </c>
      <c r="F31" s="25">
        <v>5.0</v>
      </c>
      <c r="G31" s="47">
        <f t="shared" si="1"/>
        <v>2.5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1"/>
      <c r="B32" s="44" t="s">
        <v>53</v>
      </c>
      <c r="C32" s="44" t="s">
        <v>38</v>
      </c>
      <c r="D32" s="48" t="s">
        <v>54</v>
      </c>
      <c r="E32" s="46">
        <v>2.0</v>
      </c>
      <c r="F32" s="25">
        <v>3.0</v>
      </c>
      <c r="G32" s="47">
        <f t="shared" si="1"/>
        <v>6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44" t="s">
        <v>55</v>
      </c>
      <c r="C33" s="44" t="s">
        <v>38</v>
      </c>
      <c r="D33" s="45" t="s">
        <v>56</v>
      </c>
      <c r="E33" s="46">
        <v>1.0</v>
      </c>
      <c r="F33" s="25">
        <v>0.0</v>
      </c>
      <c r="G33" s="47">
        <f t="shared" si="1"/>
        <v>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44" t="s">
        <v>57</v>
      </c>
      <c r="C34" s="44" t="s">
        <v>38</v>
      </c>
      <c r="D34" s="45"/>
      <c r="E34" s="46">
        <v>1.0</v>
      </c>
      <c r="F34" s="25">
        <v>5.0</v>
      </c>
      <c r="G34" s="47">
        <f t="shared" si="1"/>
        <v>5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"/>
      <c r="B35" s="44" t="s">
        <v>58</v>
      </c>
      <c r="C35" s="44" t="s">
        <v>38</v>
      </c>
      <c r="D35" s="45" t="s">
        <v>59</v>
      </c>
      <c r="E35" s="47">
        <v>1.0</v>
      </c>
      <c r="F35" s="25">
        <v>5.0</v>
      </c>
      <c r="G35" s="47">
        <f t="shared" si="1"/>
        <v>5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75" customHeight="1">
      <c r="A36" s="1"/>
      <c r="B36" s="44" t="s">
        <v>60</v>
      </c>
      <c r="C36" s="44" t="s">
        <v>38</v>
      </c>
      <c r="D36" s="45" t="s">
        <v>61</v>
      </c>
      <c r="E36" s="47">
        <v>1.0</v>
      </c>
      <c r="F36" s="25">
        <v>5.0</v>
      </c>
      <c r="G36" s="47">
        <f t="shared" si="1"/>
        <v>5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1.5" customHeight="1">
      <c r="A37" s="1"/>
      <c r="B37" s="44" t="s">
        <v>62</v>
      </c>
      <c r="C37" s="44" t="s">
        <v>38</v>
      </c>
      <c r="D37" s="45" t="s">
        <v>63</v>
      </c>
      <c r="E37" s="46">
        <v>1.0</v>
      </c>
      <c r="F37" s="25">
        <v>4.0</v>
      </c>
      <c r="G37" s="47">
        <f t="shared" si="1"/>
        <v>4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75" customHeight="1">
      <c r="A38" s="1"/>
      <c r="B38" s="28" t="s">
        <v>64</v>
      </c>
      <c r="C38" s="6"/>
      <c r="D38" s="6"/>
      <c r="E38" s="6"/>
      <c r="F38" s="7"/>
      <c r="G38" s="50">
        <f>SUM(G25:G37)</f>
        <v>47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28" t="s">
        <v>65</v>
      </c>
      <c r="C39" s="6"/>
      <c r="D39" s="6"/>
      <c r="E39" s="6"/>
      <c r="F39" s="7"/>
      <c r="G39" s="42">
        <f>0.6+(0.01*G38)</f>
        <v>1.07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30"/>
      <c r="C40" s="3"/>
      <c r="D40" s="3"/>
      <c r="E40" s="3"/>
      <c r="F40" s="3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1"/>
      <c r="C41" s="51"/>
      <c r="D41" s="52"/>
      <c r="E41" s="51"/>
      <c r="F41" s="51"/>
      <c r="G41" s="5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8" t="s">
        <v>66</v>
      </c>
      <c r="B42" s="20" t="s">
        <v>67</v>
      </c>
      <c r="C42" s="20" t="s">
        <v>68</v>
      </c>
      <c r="D42" s="19" t="s">
        <v>69</v>
      </c>
      <c r="E42" s="19" t="s">
        <v>9</v>
      </c>
      <c r="F42" s="19" t="s">
        <v>35</v>
      </c>
      <c r="G42" s="19" t="s">
        <v>36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64.5" customHeight="1">
      <c r="A43" s="1"/>
      <c r="B43" s="53" t="s">
        <v>70</v>
      </c>
      <c r="C43" s="44" t="s">
        <v>71</v>
      </c>
      <c r="D43" s="48" t="s">
        <v>72</v>
      </c>
      <c r="E43" s="46">
        <v>1.5</v>
      </c>
      <c r="F43" s="25">
        <v>3.0</v>
      </c>
      <c r="G43" s="47">
        <f t="shared" ref="G43:G50" si="2">E43*F43</f>
        <v>4.5</v>
      </c>
      <c r="H43" s="1" t="s">
        <v>73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51.0" customHeight="1">
      <c r="A44" s="1"/>
      <c r="B44" s="53" t="s">
        <v>74</v>
      </c>
      <c r="C44" s="44" t="s">
        <v>71</v>
      </c>
      <c r="D44" s="48" t="s">
        <v>75</v>
      </c>
      <c r="E44" s="46">
        <v>0.5</v>
      </c>
      <c r="F44" s="25">
        <v>4.0</v>
      </c>
      <c r="G44" s="47">
        <f t="shared" si="2"/>
        <v>2</v>
      </c>
      <c r="H44" s="49" t="s">
        <v>43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48.75" customHeight="1">
      <c r="A45" s="1"/>
      <c r="B45" s="53" t="s">
        <v>76</v>
      </c>
      <c r="C45" s="44" t="s">
        <v>71</v>
      </c>
      <c r="D45" s="48" t="s">
        <v>77</v>
      </c>
      <c r="E45" s="46">
        <v>1.0</v>
      </c>
      <c r="F45" s="25">
        <v>4.0</v>
      </c>
      <c r="G45" s="47">
        <f t="shared" si="2"/>
        <v>4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46.5" customHeight="1">
      <c r="A46" s="1"/>
      <c r="B46" s="53" t="s">
        <v>78</v>
      </c>
      <c r="C46" s="44" t="s">
        <v>71</v>
      </c>
      <c r="D46" s="48" t="s">
        <v>79</v>
      </c>
      <c r="E46" s="46">
        <v>0.5</v>
      </c>
      <c r="F46" s="25">
        <v>3.0</v>
      </c>
      <c r="G46" s="47">
        <f t="shared" si="2"/>
        <v>1.5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7.5" customHeight="1">
      <c r="A47" s="1"/>
      <c r="B47" s="53" t="s">
        <v>80</v>
      </c>
      <c r="C47" s="44" t="s">
        <v>81</v>
      </c>
      <c r="D47" s="45" t="s">
        <v>82</v>
      </c>
      <c r="E47" s="46">
        <v>1.0</v>
      </c>
      <c r="F47" s="25">
        <v>4.0</v>
      </c>
      <c r="G47" s="47">
        <f t="shared" si="2"/>
        <v>4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43.5" customHeight="1">
      <c r="A48" s="1"/>
      <c r="B48" s="53" t="s">
        <v>83</v>
      </c>
      <c r="C48" s="44" t="s">
        <v>84</v>
      </c>
      <c r="D48" s="45" t="s">
        <v>85</v>
      </c>
      <c r="E48" s="46">
        <v>2.0</v>
      </c>
      <c r="F48" s="25">
        <v>2.0</v>
      </c>
      <c r="G48" s="47">
        <f t="shared" si="2"/>
        <v>4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71.25" customHeight="1">
      <c r="A49" s="1"/>
      <c r="B49" s="53" t="s">
        <v>86</v>
      </c>
      <c r="C49" s="44" t="s">
        <v>87</v>
      </c>
      <c r="D49" s="48" t="s">
        <v>88</v>
      </c>
      <c r="E49" s="46">
        <v>-1.0</v>
      </c>
      <c r="F49" s="25">
        <v>4.0</v>
      </c>
      <c r="G49" s="47">
        <f t="shared" si="2"/>
        <v>-4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62.25" customHeight="1">
      <c r="A50" s="1"/>
      <c r="B50" s="53" t="s">
        <v>89</v>
      </c>
      <c r="C50" s="44" t="s">
        <v>90</v>
      </c>
      <c r="D50" s="48" t="s">
        <v>91</v>
      </c>
      <c r="E50" s="46">
        <v>-1.0</v>
      </c>
      <c r="F50" s="25">
        <v>4.0</v>
      </c>
      <c r="G50" s="47">
        <f t="shared" si="2"/>
        <v>-4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8.25" customHeight="1">
      <c r="A51" s="1"/>
      <c r="B51" s="28" t="s">
        <v>92</v>
      </c>
      <c r="C51" s="6"/>
      <c r="D51" s="6"/>
      <c r="E51" s="6"/>
      <c r="F51" s="7"/>
      <c r="G51" s="19">
        <f>SUM(G43:G50)</f>
        <v>12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28" t="s">
        <v>93</v>
      </c>
      <c r="C52" s="6"/>
      <c r="D52" s="6"/>
      <c r="E52" s="6"/>
      <c r="F52" s="7"/>
      <c r="G52" s="19">
        <f>1.4 + (-0.03*G51)</f>
        <v>1.04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75" customHeight="1">
      <c r="A53" s="1"/>
      <c r="B53" s="28"/>
      <c r="C53" s="54"/>
      <c r="D53" s="55"/>
      <c r="E53" s="54"/>
      <c r="F53" s="56" t="s">
        <v>94</v>
      </c>
      <c r="G53" s="19">
        <f>COUNTIF($F$43:$F$48,"&lt;3")+COUNTIF($F$49:$F$50,"&gt;3")</f>
        <v>3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75" customHeight="1">
      <c r="A54" s="1"/>
      <c r="B54" s="30"/>
      <c r="C54" s="3"/>
      <c r="D54" s="3"/>
      <c r="E54" s="3"/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75" customHeight="1">
      <c r="A55" s="1"/>
      <c r="B55" s="1"/>
      <c r="C55" s="1"/>
      <c r="D55" s="2"/>
      <c r="E55" s="3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75" customHeight="1">
      <c r="A56" s="18" t="s">
        <v>95</v>
      </c>
      <c r="B56" s="57" t="s">
        <v>96</v>
      </c>
      <c r="C56" s="6"/>
      <c r="D56" s="6"/>
      <c r="E56" s="6"/>
      <c r="F56" s="7"/>
      <c r="G56" s="58">
        <f>F21*G39*G52</f>
        <v>31.1584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75" customHeight="1">
      <c r="A57" s="1"/>
      <c r="B57" s="1"/>
      <c r="C57" s="1"/>
      <c r="D57" s="2"/>
      <c r="E57" s="3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75" customHeight="1">
      <c r="A58" s="1"/>
      <c r="B58" s="1"/>
      <c r="C58" s="1"/>
      <c r="D58" s="2"/>
      <c r="E58" s="3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75" customHeight="1">
      <c r="A59" s="59" t="s">
        <v>97</v>
      </c>
      <c r="B59" s="20" t="s">
        <v>98</v>
      </c>
      <c r="C59" s="20" t="s">
        <v>99</v>
      </c>
      <c r="D59" s="20" t="s">
        <v>100</v>
      </c>
      <c r="E59" s="3"/>
      <c r="F59" s="1"/>
      <c r="G59" s="20" t="s">
        <v>101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1.5" customHeight="1">
      <c r="A60" s="1"/>
      <c r="B60" s="60">
        <v>20.0</v>
      </c>
      <c r="C60" s="60">
        <f>IF($G$53&gt;=5,36,IF(AND(G$53&gt;2,$G$53&lt;=4),28, IF(AND($G$53&gt;=0,$G$53&lt;=2),20,"error")))</f>
        <v>28</v>
      </c>
      <c r="D60" s="61">
        <f>IF($G$53&gt;=5,$G$60*(36/20),IF(AND($G$53&gt;2,$G$53&lt;=4),$G$60*(28/20), IF(AND($G$53&gt;=0,$G$53&lt;=2),$G$60,"error")))</f>
        <v>2.8</v>
      </c>
      <c r="E60" s="3"/>
      <c r="F60" s="1"/>
      <c r="G60" s="62">
        <v>2.0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75" customHeight="1">
      <c r="A61" s="1"/>
      <c r="B61" s="63" t="s">
        <v>102</v>
      </c>
      <c r="C61" s="6"/>
      <c r="D61" s="7"/>
      <c r="E61" s="3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75" customHeight="1">
      <c r="A62" s="64" t="s">
        <v>103</v>
      </c>
      <c r="B62" s="60">
        <f t="shared" ref="B62:D62" si="3">$G$56*B60</f>
        <v>623.168</v>
      </c>
      <c r="C62" s="60">
        <f t="shared" si="3"/>
        <v>872.4352</v>
      </c>
      <c r="D62" s="60">
        <f t="shared" si="3"/>
        <v>87.24352</v>
      </c>
      <c r="E62" s="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64" t="s">
        <v>104</v>
      </c>
      <c r="B63" s="65">
        <f t="shared" ref="B63:C63" si="4">B62/(22*8)</f>
        <v>3.540727273</v>
      </c>
      <c r="C63" s="65">
        <f t="shared" si="4"/>
        <v>4.957018182</v>
      </c>
      <c r="D63" s="66">
        <f>D62/(22*3)</f>
        <v>1.321871515</v>
      </c>
      <c r="E63" s="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1"/>
      <c r="C64" s="1"/>
      <c r="D64" s="2"/>
      <c r="E64" s="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1"/>
      <c r="C65" s="1"/>
      <c r="D65" s="1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8" t="s">
        <v>105</v>
      </c>
      <c r="B66" s="67" t="s">
        <v>106</v>
      </c>
      <c r="C66" s="68"/>
      <c r="D66" s="55"/>
      <c r="E66" s="54"/>
      <c r="F66" s="69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"/>
      <c r="B67" s="43" t="s">
        <v>107</v>
      </c>
      <c r="C67" s="19" t="s">
        <v>108</v>
      </c>
      <c r="D67" s="58" t="s">
        <v>109</v>
      </c>
      <c r="E67" s="58" t="s">
        <v>110</v>
      </c>
      <c r="F67" s="58" t="s">
        <v>111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70" t="s">
        <v>112</v>
      </c>
      <c r="C68" s="71">
        <v>0.4</v>
      </c>
      <c r="D68" s="65">
        <f t="shared" ref="D68:F68" si="5">$C68/$C$68*B$63</f>
        <v>3.540727273</v>
      </c>
      <c r="E68" s="65">
        <f t="shared" si="5"/>
        <v>4.957018182</v>
      </c>
      <c r="F68" s="65">
        <f t="shared" si="5"/>
        <v>1.321871515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70" t="s">
        <v>113</v>
      </c>
      <c r="C69" s="71">
        <f>1-C68</f>
        <v>0.6</v>
      </c>
      <c r="D69" s="60">
        <f t="shared" ref="D69:F69" si="6">$C69/$C$68*B$63</f>
        <v>5.311090909</v>
      </c>
      <c r="E69" s="60">
        <f t="shared" si="6"/>
        <v>7.435527273</v>
      </c>
      <c r="F69" s="60">
        <f t="shared" si="6"/>
        <v>1.982807273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1"/>
      <c r="B70" s="72"/>
      <c r="C70" s="71">
        <f>SUM(C68:C69)</f>
        <v>1</v>
      </c>
      <c r="D70" s="65">
        <f t="shared" ref="D70:F70" si="7">$C70/$C$68*B$63</f>
        <v>8.851818182</v>
      </c>
      <c r="E70" s="65">
        <f t="shared" si="7"/>
        <v>12.39254545</v>
      </c>
      <c r="F70" s="65">
        <f t="shared" si="7"/>
        <v>3.304678788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1"/>
      <c r="B71" s="1"/>
      <c r="C71" s="1"/>
      <c r="D71" s="2"/>
      <c r="E71" s="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8" t="s">
        <v>114</v>
      </c>
      <c r="B72" s="25">
        <v>5.0</v>
      </c>
      <c r="C72" s="1"/>
      <c r="D72" s="2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1"/>
      <c r="B73" s="1"/>
      <c r="C73" s="1"/>
      <c r="D73" s="2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18" t="s">
        <v>115</v>
      </c>
      <c r="B74" s="58" t="s">
        <v>116</v>
      </c>
      <c r="C74" s="58" t="s">
        <v>117</v>
      </c>
      <c r="D74" s="58" t="s">
        <v>118</v>
      </c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73"/>
      <c r="B75" s="74">
        <f>$D$70/$B$72</f>
        <v>1.770363636</v>
      </c>
      <c r="C75" s="74">
        <f>$E$70/$B$72</f>
        <v>2.478509091</v>
      </c>
      <c r="D75" s="74">
        <f>$F$70/$B$72</f>
        <v>0.6609357576</v>
      </c>
      <c r="E75" s="73"/>
      <c r="F75" s="73"/>
      <c r="G75" s="73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73"/>
      <c r="B76" s="73"/>
      <c r="C76" s="73"/>
      <c r="D76" s="73"/>
      <c r="E76" s="75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5.75" customHeight="1">
      <c r="A77" s="73"/>
      <c r="B77" s="73"/>
      <c r="C77" s="73"/>
      <c r="D77" s="73"/>
      <c r="E77" s="75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5.75" customHeight="1">
      <c r="A78" s="73"/>
      <c r="B78" s="73"/>
      <c r="C78" s="73"/>
      <c r="D78" s="73"/>
      <c r="E78" s="75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5.75" customHeight="1">
      <c r="A79" s="73"/>
      <c r="B79" s="73"/>
      <c r="C79" s="73"/>
      <c r="D79" s="73"/>
      <c r="E79" s="75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5.75" customHeight="1">
      <c r="A80" s="73"/>
      <c r="B80" s="73"/>
      <c r="C80" s="73"/>
      <c r="D80" s="73"/>
      <c r="E80" s="75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5.75" customHeight="1">
      <c r="A81" s="73"/>
      <c r="B81" s="73"/>
      <c r="C81" s="73"/>
      <c r="D81" s="73"/>
      <c r="E81" s="75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5.75" customHeight="1">
      <c r="A82" s="73"/>
      <c r="B82" s="73"/>
      <c r="C82" s="73"/>
      <c r="D82" s="73"/>
      <c r="E82" s="75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5.75" customHeight="1">
      <c r="A83" s="73"/>
      <c r="B83" s="73"/>
      <c r="C83" s="73"/>
      <c r="D83" s="73"/>
      <c r="E83" s="75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5.75" customHeight="1">
      <c r="A84" s="73"/>
      <c r="B84" s="73"/>
      <c r="C84" s="73"/>
      <c r="D84" s="73"/>
      <c r="E84" s="75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5.75" customHeight="1">
      <c r="A85" s="73"/>
      <c r="B85" s="73"/>
      <c r="C85" s="73"/>
      <c r="D85" s="73"/>
      <c r="E85" s="75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5.75" customHeight="1">
      <c r="A86" s="73"/>
      <c r="B86" s="73"/>
      <c r="C86" s="73"/>
      <c r="D86" s="73"/>
      <c r="E86" s="75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5.75" customHeight="1">
      <c r="A87" s="73"/>
      <c r="B87" s="73"/>
      <c r="C87" s="73"/>
      <c r="D87" s="73"/>
      <c r="E87" s="75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5.75" customHeight="1">
      <c r="A88" s="73"/>
      <c r="B88" s="73"/>
      <c r="C88" s="73"/>
      <c r="D88" s="73"/>
      <c r="E88" s="75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5.75" customHeight="1">
      <c r="A89" s="73"/>
      <c r="B89" s="73"/>
      <c r="C89" s="73"/>
      <c r="D89" s="73"/>
      <c r="E89" s="75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5.75" customHeight="1">
      <c r="A90" s="73"/>
      <c r="B90" s="73"/>
      <c r="C90" s="73"/>
      <c r="D90" s="73"/>
      <c r="E90" s="75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5.75" customHeight="1">
      <c r="A91" s="73"/>
      <c r="B91" s="73"/>
      <c r="C91" s="73"/>
      <c r="D91" s="73"/>
      <c r="E91" s="75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5.75" customHeight="1">
      <c r="A92" s="1"/>
      <c r="B92" s="1"/>
      <c r="C92" s="1"/>
      <c r="D92" s="2"/>
      <c r="E92" s="3"/>
      <c r="F92" s="1"/>
      <c r="G92" s="1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5.75" customHeight="1">
      <c r="A93" s="1"/>
      <c r="B93" s="1"/>
      <c r="C93" s="1"/>
      <c r="D93" s="2"/>
      <c r="E93" s="3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2"/>
      <c r="E94" s="3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2"/>
      <c r="E95" s="3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2"/>
      <c r="E96" s="3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2"/>
      <c r="E97" s="3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2"/>
      <c r="E98" s="3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2"/>
      <c r="E99" s="3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2"/>
      <c r="E100" s="3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2"/>
      <c r="E101" s="3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2"/>
      <c r="E102" s="3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2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0">
    <mergeCell ref="B52:F52"/>
    <mergeCell ref="B56:F56"/>
    <mergeCell ref="B61:D61"/>
    <mergeCell ref="B2:G2"/>
    <mergeCell ref="C11:F11"/>
    <mergeCell ref="C18:E18"/>
    <mergeCell ref="C21:E21"/>
    <mergeCell ref="B38:F38"/>
    <mergeCell ref="B39:F39"/>
    <mergeCell ref="B51:F51"/>
  </mergeCells>
  <dataValidations>
    <dataValidation type="list" allowBlank="1" showErrorMessage="1" sqref="C8:C10">
      <formula1>"Simple,Intermedio,Complejo"</formula1>
    </dataValidation>
    <dataValidation type="decimal" allowBlank="1" showInputMessage="1" showErrorMessage="1" prompt="Entre 1 y 9 personas." sqref="B72">
      <formula1>1.0</formula1>
      <formula2>9.0</formula2>
    </dataValidation>
  </dataValidations>
  <hyperlinks>
    <hyperlink r:id="rId2" location="v=onepage&amp;q=e7%20part-time%20members&amp;f=false" ref="H26"/>
    <hyperlink r:id="rId3" location="v=onepage&amp;q=e7%20part-time%20members&amp;f=false" ref="H44"/>
  </hyperlinks>
  <printOptions/>
  <pageMargins bottom="1.0" footer="0.0" header="0.0" left="0.75" right="0.75" top="1.0"/>
  <pageSetup orientation="portrait"/>
  <drawing r:id="rId4"/>
  <legacyDrawing r:id="rId5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2021-09-16T15:20:38Z</dcterms:created>
  <dc:creator>Valeria Centurión</dc:creator>
</cp:coreProperties>
</file>