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  <sheet state="visible" name="Copia de Plantilla" sheetId="2" r:id="rId5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Plantilla!$D$71</definedName>
    <definedName localSheetId="1" name="solver_opt">'Copia de Plantilla'!$D$71</definedName>
  </definedNames>
  <calcPr/>
  <extLst>
    <ext uri="GoogleSheetsCustomDataVersion2">
      <go:sheetsCustomData xmlns:go="http://customooxmlschemas.google.com/" r:id="rId6" roundtripDataChecksum="KwFV8ZuRGSbOjBwHOm6sjCL6TYLBTx01Onu+0hvv4h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5">
      <text>
        <t xml:space="preserve">======
ID#AAABrntIk4A
Autor    (2023-08-29 20:18:46)
¿Hace falta consideraciones especiales para el acceso concurrente (paralelo) a datos y otros recursos?</t>
      </text>
    </comment>
    <comment authorId="0" ref="B56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57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80">
      <text>
        <t xml:space="preserve">======
ID#AAABrntIk4Q
Autor    (2023-08-29 20:18:46)
Análisis/Diseño/Pruebas/Sobrecarga</t>
      </text>
    </comment>
    <comment authorId="0" ref="B60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5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54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58">
      <text>
        <t xml:space="preserve">======
ID#AAABrntIk4Y
Autor    (2023-08-29 20:18:46)
Motivación del equipo.</t>
      </text>
    </comment>
    <comment authorId="0" ref="B83">
      <text>
        <t xml:space="preserve">======
ID#AAABrntIk38
Autor    (2023-08-29 20:18:46)
Lo debe sugerir el estimador.</t>
      </text>
    </comment>
    <comment authorId="0" ref="B41">
      <text>
        <t xml:space="preserve">======
ID#AAABrntIk4U
Autor    (2023-08-29 20:18:46)
¿La aplicación debe ser de fácil instalación (para usuarios sin capacidad técnica) o no?</t>
      </text>
    </comment>
    <comment authorId="0" ref="B38">
      <text>
        <t xml:space="preserve">======
ID#AAABrntIk34
Autor    (2023-08-29 20:18:46)
¿La aplicacion está diseñada para que el usuario incremente SU eficiencia (no solo cumpla su cometido)?</t>
      </text>
    </comment>
    <comment authorId="0" ref="B61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40">
      <text>
        <t xml:space="preserve">======
ID#AAABrntIk4g
Autor    (2023-08-29 20:18:46)
¿La aplicación requiere diseñarse para ser altamente reusable?</t>
      </text>
    </comment>
    <comment authorId="0" ref="B43">
      <text>
        <t xml:space="preserve">======
ID#AAABrntIk5E
Autor    (2023-08-29 20:18:46)
¿La aplicación, debe funcionar en más de una plataforma?</t>
      </text>
    </comment>
    <comment authorId="0" ref="B37">
      <text>
        <t xml:space="preserve">======
ID#AAABrntIk4c
Autor    (2023-08-29 20:18:46)
¿Cuál es la importancia del tiempo de respuesta de la aplicación para el usuario final?</t>
      </text>
    </comment>
    <comment authorId="0" ref="B59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44">
      <text>
        <t xml:space="preserve">======
ID#AAABrntIk40
Autor    (2023-08-29 20:18:46)
¿El cliente requiere que la aplicación se pueda cambiar fácilmente en el futuro?</t>
      </text>
    </comment>
    <comment authorId="0" ref="B42">
      <text>
        <t xml:space="preserve">======
ID#AAABrntIk4o
Autor    (2023-08-29 20:18:46)
¿Hay requerimientos especiales respecto de la facilidad de uso?</t>
      </text>
    </comment>
    <comment authorId="0" ref="B36">
      <text>
        <t xml:space="preserve">======
ID#AAABrntIk5M
Autor    (2023-08-29 20:18:46)
¿Arquitectura centralizada o distribuida?</t>
      </text>
    </comment>
    <comment authorId="0" ref="B48">
      <text>
        <t xml:space="preserve">======
ID#AAABrntIk4k
Autor    (2023-08-29 20:18:46)
¿Se requiere formación específica para los Usuarios?</t>
      </text>
    </comment>
    <comment authorId="0" ref="B77">
      <text>
        <t xml:space="preserve">======
ID#AAABrntIk5Y
Autor    (2023-08-29 20:18:46)
Esta distribución es una referencia. Proyecto a proyecto debe actualizarse mediante  ESTADISTICAS.</t>
      </text>
    </comment>
    <comment authorId="0" ref="B47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71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5">
      <text>
        <t xml:space="preserve">======
ID#AAABrntIk5U
Autor    (2023-08-29 20:18:46)
¿Ya trabajado el equipo en el area (dominio) de la aplicación?</t>
      </text>
    </comment>
    <comment authorId="0" ref="B46">
      <text>
        <t xml:space="preserve">======
ID#AAABrntIk44
Autor    (2023-08-29 20:18:46)
¿Es suficiente con las prestaciones de seguridad normales, o hace falta algo especial?</t>
      </text>
    </comment>
    <comment authorId="0" ref="B39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SWDzVTC+NVLXW0KaL5vfU3D4ouA=="/>
    </ext>
  </extLst>
</comments>
</file>

<file path=xl/sharedStrings.xml><?xml version="1.0" encoding="utf-8"?>
<sst xmlns="http://schemas.openxmlformats.org/spreadsheetml/2006/main" count="310" uniqueCount="138">
  <si>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</si>
  <si>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</si>
  <si>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</si>
  <si>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</si>
  <si>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</si>
  <si>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</si>
  <si>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</si>
  <si>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</si>
  <si>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</si>
  <si>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</si>
  <si>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</si>
  <si>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</si>
  <si>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</si>
  <si>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</si>
  <si>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</si>
  <si>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</si>
  <si>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</si>
  <si>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</si>
  <si>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</si>
  <si>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</si>
  <si>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</si>
  <si>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</si>
  <si>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</si>
  <si>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</si>
  <si>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</si>
  <si>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CU07: Crear etapa</t>
  </si>
  <si>
    <t>Simple</t>
  </si>
  <si>
    <t>CU23: Registrar usuario a proyecto</t>
  </si>
  <si>
    <t>CU##: Gestionar proyectos</t>
  </si>
  <si>
    <t>CU08: Crear iteración</t>
  </si>
  <si>
    <t>CU##: Gestionar tareas</t>
  </si>
  <si>
    <t>CU20:Registrar tiempo por cronómetro</t>
  </si>
  <si>
    <t>Intermedio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</si>
  <si>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</si>
  <si>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</si>
  <si>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</si>
  <si>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</si>
  <si>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</si>
  <si>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</si>
  <si>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</si>
  <si>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</si>
  <si>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</si>
  <si>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</si>
  <si>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</si>
  <si>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</si>
  <si>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</si>
  <si>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</si>
  <si>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</si>
  <si>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</si>
  <si>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</si>
  <si>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</si>
  <si>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</si>
  <si>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</si>
  <si>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</si>
  <si>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</si>
  <si>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</si>
  <si>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</si>
  <si>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</si>
  <si>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</si>
  <si>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</si>
  <si>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</si>
  <si>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</si>
  <si>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</si>
  <si>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</si>
  <si>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</si>
  <si>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</si>
  <si>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</si>
  <si>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</si>
  <si>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</si>
  <si>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</si>
  <si>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</si>
  <si>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</si>
  <si>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</si>
  <si>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</si>
  <si>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</si>
  <si>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</si>
  <si>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</si>
  <si>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</si>
  <si>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</si>
  <si>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</si>
  <si>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</si>
  <si>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</si>
  <si>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tiene conocimientos basicos, logicos en este tipos de proyectos</t>
  </si>
  <si>
    <t>Ver 4.2 Use Case Point Analysis e17</t>
  </si>
  <si>
    <t>E2 Experiencia en el Dominio de Aplicación</t>
  </si>
  <si>
    <t>El equipo de desarrollo está investigando y avanzando en el dominio de aplicación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</si>
  <si>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</si>
  <si>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</si>
  <si>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</si>
  <si>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</si>
  <si>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</si>
  <si>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</si>
  <si>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</si>
  <si>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</si>
  <si>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</si>
  <si>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</si>
  <si>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</si>
  <si>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</si>
  <si>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</si>
  <si>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</si>
  <si>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</si>
  <si>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</si>
  <si>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</si>
  <si>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</si>
  <si>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</si>
  <si>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</si>
  <si>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</si>
  <si>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</si>
  <si>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</si>
  <si>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</si>
  <si>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</si>
  <si>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</si>
  <si>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</si>
  <si>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</si>
  <si>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</si>
  <si>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</si>
  <si>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</si>
  <si>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</si>
  <si>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</si>
  <si>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</si>
  <si>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</si>
  <si>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</si>
  <si>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</si>
  <si>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</si>
  <si>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</si>
  <si>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</si>
  <si>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</si>
  <si>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</si>
  <si>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</si>
  <si>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t>Toggl Track</t>
  </si>
  <si>
    <t>Otro sistema con una API</t>
  </si>
  <si>
    <t>CU05: Crear Proyecto</t>
  </si>
  <si>
    <t>CU08: Crear iteracion</t>
  </si>
  <si>
    <t>CU##: Gestionar iteraciones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</si>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</sst>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3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color theme="1"/>
      <name val="Arial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11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Border="1" applyFont="1"/>
    <xf borderId="9" fillId="3" fontId="8" numFmtId="0" xfId="0" applyBorder="1" applyFont="1"/>
    <xf borderId="9" fillId="3" fontId="5" numFmtId="0" xfId="0" applyAlignment="1" applyBorder="1" applyFont="1">
      <alignment horizontal="center"/>
    </xf>
    <xf borderId="9" fillId="4" fontId="6" numFmtId="0" xfId="0" applyAlignment="1" applyBorder="1" applyFont="1">
      <alignment horizontal="center" shrinkToFit="0" wrapText="1"/>
    </xf>
    <xf borderId="0" fillId="0" fontId="4" numFmtId="49" xfId="0" applyAlignment="1" applyFont="1" applyNumberFormat="1">
      <alignment vertical="center"/>
    </xf>
    <xf borderId="9" fillId="3" fontId="5" numFmtId="0" xfId="0" applyAlignment="1" applyBorder="1" applyFont="1">
      <alignment vertical="bottom"/>
    </xf>
    <xf borderId="9" fillId="3" fontId="8" numFmtId="0" xfId="0" applyAlignment="1" applyBorder="1" applyFont="1">
      <alignment vertical="bottom"/>
    </xf>
    <xf borderId="9" fillId="3" fontId="5" numFmtId="0" xfId="0" applyAlignment="1" applyBorder="1" applyFont="1">
      <alignment horizontal="center" vertical="bottom"/>
    </xf>
    <xf borderId="9" fillId="4" fontId="6" numFmtId="0" xfId="0" applyAlignment="1" applyBorder="1" applyFont="1">
      <alignment horizontal="center" shrinkToFit="0" vertical="bottom" wrapText="1"/>
    </xf>
    <xf borderId="12" fillId="3" fontId="8" numFmtId="0" xfId="0" applyAlignment="1" applyBorder="1" applyFont="1">
      <alignment vertical="bottom"/>
    </xf>
    <xf borderId="12" fillId="3" fontId="5" numFmtId="0" xfId="0" applyAlignment="1" applyBorder="1" applyFont="1">
      <alignment horizontal="center" vertical="bottom"/>
    </xf>
    <xf borderId="12" fillId="3" fontId="5" numFmtId="0" xfId="0" applyAlignment="1" applyBorder="1" applyFont="1">
      <alignment horizontal="center" vertical="bottom"/>
    </xf>
    <xf borderId="9" fillId="3" fontId="5" numFmtId="0" xfId="0" applyAlignment="1" applyBorder="1" applyFont="1">
      <alignment vertical="bottom"/>
    </xf>
    <xf borderId="12" fillId="3" fontId="5" numFmtId="0" xfId="0" applyAlignment="1" applyBorder="1" applyFont="1">
      <alignment horizontal="center" vertical="center"/>
    </xf>
    <xf borderId="12" fillId="3" fontId="5" numFmtId="0" xfId="0" applyAlignment="1" applyBorder="1" applyFont="1">
      <alignment vertical="center"/>
    </xf>
    <xf borderId="13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4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9" numFmtId="0" xfId="0" applyAlignment="1" applyFont="1">
      <alignment shrinkToFit="0" vertical="top" wrapText="1"/>
    </xf>
    <xf borderId="9" fillId="4" fontId="1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9" fillId="3" fontId="5" numFmtId="0" xfId="0" applyAlignment="1" applyBorder="1" applyFont="1">
      <alignment horizontal="center" readingOrder="0" shrinkToFit="0" vertical="center" wrapText="1"/>
    </xf>
    <xf borderId="9" fillId="3" fontId="5" numFmtId="49" xfId="0" applyAlignment="1" applyBorder="1" applyFont="1" applyNumberFormat="1">
      <alignment horizontal="left" readingOrder="0"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5" fillId="5" fontId="11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2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  <xf borderId="9" fillId="3" fontId="5" numFmtId="0" xfId="0" applyAlignment="1" applyBorder="1" applyFon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/>
      <c r="C10" s="22"/>
      <c r="D10" s="27"/>
      <c r="E10" s="24"/>
      <c r="F10" s="25"/>
      <c r="G10" s="2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17</v>
      </c>
      <c r="C11" s="22" t="s">
        <v>13</v>
      </c>
      <c r="D11" s="23" t="s">
        <v>18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19</v>
      </c>
      <c r="D12" s="6"/>
      <c r="E12" s="6"/>
      <c r="F12" s="7"/>
      <c r="G12" s="30">
        <f>SUM(G8:G11)</f>
        <v>3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20</v>
      </c>
      <c r="B15" s="19" t="s">
        <v>21</v>
      </c>
      <c r="C15" s="19" t="s">
        <v>22</v>
      </c>
      <c r="D15" s="20" t="s">
        <v>23</v>
      </c>
      <c r="E15" s="20" t="s">
        <v>24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35" t="s">
        <v>25</v>
      </c>
      <c r="C16" s="36"/>
      <c r="D16" s="37">
        <v>3.0</v>
      </c>
      <c r="E16" s="38" t="s">
        <v>26</v>
      </c>
      <c r="F16" s="38">
        <v>5.0</v>
      </c>
      <c r="G16" s="1"/>
      <c r="H16" s="1"/>
      <c r="I16" s="1"/>
      <c r="J16" s="1"/>
      <c r="K16" s="39"/>
      <c r="L16" s="1"/>
      <c r="M16" s="1"/>
      <c r="N16" s="1"/>
      <c r="O16" s="1"/>
      <c r="P16" s="1"/>
      <c r="Q16" s="1"/>
      <c r="R16" s="1"/>
      <c r="S16" s="1"/>
      <c r="T16" s="39"/>
      <c r="U16" s="1"/>
      <c r="V16" s="1"/>
      <c r="W16" s="1"/>
      <c r="X16" s="1"/>
      <c r="Y16" s="1"/>
      <c r="Z16" s="1"/>
    </row>
    <row r="17" ht="27.75" customHeight="1">
      <c r="A17" s="1"/>
      <c r="B17" s="40" t="s">
        <v>27</v>
      </c>
      <c r="C17" s="41"/>
      <c r="D17" s="42">
        <v>6.0</v>
      </c>
      <c r="E17" s="43" t="str">
        <f t="shared" ref="E17:E18" si="1">IF($D17&gt;0,IF($D17&lt;=3,"Simple",IF(AND($D17&gt;3,$D17&lt;7),"Intermedio",IF($D17&gt;=7,"Complejo","error"))),"-")</f>
        <v>Intermedio</v>
      </c>
      <c r="F17" s="43">
        <f t="shared" ref="F17:F18" si="2">IF($D17&gt;0,IF($D17&lt;=3,5,IF(AND($D17&gt;3,$D17&lt;7),10,IF($D17&gt;=7,15,"error"))),0)</f>
        <v>10</v>
      </c>
      <c r="G17" s="1"/>
      <c r="H17" s="1"/>
      <c r="I17" s="1"/>
      <c r="J17" s="1"/>
      <c r="K17" s="39"/>
      <c r="L17" s="1"/>
      <c r="M17" s="1"/>
      <c r="N17" s="1"/>
      <c r="O17" s="1"/>
      <c r="P17" s="1"/>
      <c r="Q17" s="1"/>
      <c r="R17" s="1"/>
      <c r="S17" s="1"/>
      <c r="T17" s="39"/>
      <c r="U17" s="1"/>
      <c r="V17" s="1"/>
      <c r="W17" s="1"/>
      <c r="X17" s="1"/>
      <c r="Y17" s="1"/>
      <c r="Z17" s="1"/>
    </row>
    <row r="18" ht="27.75" customHeight="1">
      <c r="A18" s="1"/>
      <c r="B18" s="40" t="s">
        <v>28</v>
      </c>
      <c r="C18" s="44"/>
      <c r="D18" s="45">
        <v>8.0</v>
      </c>
      <c r="E18" s="43" t="str">
        <f t="shared" si="1"/>
        <v>Complejo</v>
      </c>
      <c r="F18" s="43">
        <f t="shared" si="2"/>
        <v>15</v>
      </c>
      <c r="G18" s="1"/>
      <c r="H18" s="1"/>
      <c r="I18" s="1"/>
      <c r="J18" s="1"/>
      <c r="K18" s="39"/>
      <c r="L18" s="1"/>
      <c r="M18" s="1"/>
      <c r="N18" s="1"/>
      <c r="O18" s="1"/>
      <c r="P18" s="1"/>
      <c r="Q18" s="1"/>
      <c r="R18" s="1"/>
      <c r="S18" s="1"/>
      <c r="T18" s="39"/>
      <c r="U18" s="1"/>
      <c r="V18" s="1"/>
      <c r="W18" s="1"/>
      <c r="X18" s="1"/>
      <c r="Y18" s="1"/>
      <c r="Z18" s="1"/>
    </row>
    <row r="19" ht="27.75" customHeight="1">
      <c r="A19" s="1"/>
      <c r="B19" s="40" t="s">
        <v>29</v>
      </c>
      <c r="C19" s="44"/>
      <c r="D19" s="46">
        <v>3.0</v>
      </c>
      <c r="E19" s="43" t="s">
        <v>26</v>
      </c>
      <c r="F19" s="43">
        <v>5.0</v>
      </c>
      <c r="G19" s="1"/>
      <c r="H19" s="1"/>
      <c r="I19" s="1"/>
      <c r="J19" s="1"/>
      <c r="K19" s="39"/>
      <c r="L19" s="1"/>
      <c r="M19" s="1"/>
      <c r="N19" s="1"/>
      <c r="O19" s="1"/>
      <c r="P19" s="1"/>
      <c r="Q19" s="1"/>
      <c r="R19" s="1"/>
      <c r="S19" s="1"/>
      <c r="T19" s="39"/>
      <c r="U19" s="1"/>
      <c r="V19" s="1"/>
      <c r="W19" s="1"/>
      <c r="X19" s="1"/>
      <c r="Y19" s="1"/>
      <c r="Z19" s="1"/>
    </row>
    <row r="20" ht="27.75" customHeight="1">
      <c r="A20" s="1"/>
      <c r="B20" s="40" t="s">
        <v>30</v>
      </c>
      <c r="C20" s="44"/>
      <c r="D20" s="46">
        <v>10.0</v>
      </c>
      <c r="E20" s="43" t="str">
        <f>IF($D20&gt;0,IF($D20&lt;=3,"Simple",IF(AND($D20&gt;3,$D20&lt;7),"Intermedio",IF($D20&gt;=7,"Complejo","error"))),"-")</f>
        <v>Complejo</v>
      </c>
      <c r="F20" s="43">
        <f>IF($D20&gt;0,IF($D20&lt;=3,5,IF(AND($D20&gt;3,$D20&lt;7),10,IF($D20&gt;=7,15,"error"))),0)</f>
        <v>15</v>
      </c>
      <c r="G20" s="1"/>
      <c r="H20" s="1"/>
      <c r="I20" s="1"/>
      <c r="J20" s="1"/>
      <c r="K20" s="39"/>
      <c r="L20" s="1"/>
      <c r="M20" s="1"/>
      <c r="N20" s="1"/>
      <c r="O20" s="1"/>
      <c r="P20" s="1"/>
      <c r="Q20" s="1"/>
      <c r="R20" s="1"/>
      <c r="S20" s="1"/>
      <c r="T20" s="39"/>
      <c r="U20" s="1"/>
      <c r="V20" s="1"/>
      <c r="W20" s="1"/>
      <c r="X20" s="1"/>
      <c r="Y20" s="1"/>
      <c r="Z20" s="1"/>
    </row>
    <row r="21" ht="27.75" customHeight="1">
      <c r="A21" s="1"/>
      <c r="B21" s="47" t="s">
        <v>31</v>
      </c>
      <c r="C21" s="44"/>
      <c r="D21" s="45">
        <v>4.0</v>
      </c>
      <c r="E21" s="43" t="s">
        <v>32</v>
      </c>
      <c r="F21" s="43">
        <v>10.0</v>
      </c>
      <c r="G21" s="1"/>
      <c r="H21" s="1"/>
      <c r="I21" s="1"/>
      <c r="J21" s="1"/>
      <c r="K21" s="39"/>
      <c r="L21" s="1"/>
      <c r="M21" s="1"/>
      <c r="N21" s="1"/>
      <c r="O21" s="1"/>
      <c r="P21" s="1"/>
      <c r="Q21" s="1"/>
      <c r="R21" s="1"/>
      <c r="S21" s="1"/>
      <c r="T21" s="39"/>
      <c r="U21" s="1"/>
      <c r="V21" s="1"/>
      <c r="W21" s="1"/>
      <c r="X21" s="1"/>
      <c r="Y21" s="1"/>
      <c r="Z21" s="1"/>
    </row>
    <row r="22" ht="27.75" customHeight="1">
      <c r="A22" s="1"/>
      <c r="B22" s="40" t="s">
        <v>33</v>
      </c>
      <c r="C22" s="44"/>
      <c r="D22" s="46">
        <v>4.0</v>
      </c>
      <c r="E22" s="43" t="str">
        <f t="shared" ref="E22:E26" si="3">IF($D22&gt;0,IF($D22&lt;=3,"Simple",IF(AND($D22&gt;3,$D22&lt;7),"Intermedio",IF($D22&gt;=7,"Complejo","error"))),"-")</f>
        <v>Intermedio</v>
      </c>
      <c r="F22" s="43">
        <f t="shared" ref="F22:F26" si="4">IF($D22&gt;0,IF($D22&lt;=3,5,IF(AND($D22&gt;3,$D22&lt;7),10,IF($D22&gt;=7,15,"error"))),0)</f>
        <v>10</v>
      </c>
      <c r="G22" s="1"/>
      <c r="H22" s="1"/>
      <c r="I22" s="1"/>
      <c r="J22" s="1"/>
      <c r="K22" s="39"/>
      <c r="L22" s="1"/>
      <c r="M22" s="1"/>
      <c r="N22" s="1"/>
      <c r="O22" s="1"/>
      <c r="P22" s="1"/>
      <c r="Q22" s="1"/>
      <c r="R22" s="1"/>
      <c r="S22" s="1"/>
      <c r="T22" s="39"/>
      <c r="U22" s="1"/>
      <c r="V22" s="1"/>
      <c r="W22" s="1"/>
      <c r="X22" s="1"/>
      <c r="Y22" s="1"/>
      <c r="Z22" s="1"/>
    </row>
    <row r="23" ht="27.75" customHeight="1">
      <c r="A23" s="1"/>
      <c r="B23" s="40" t="s">
        <v>34</v>
      </c>
      <c r="C23" s="44"/>
      <c r="D23" s="46">
        <v>3.0</v>
      </c>
      <c r="E23" s="43" t="str">
        <f t="shared" si="3"/>
        <v>Simple</v>
      </c>
      <c r="F23" s="43">
        <f t="shared" si="4"/>
        <v>5</v>
      </c>
      <c r="G23" s="1"/>
      <c r="H23" s="1"/>
      <c r="I23" s="1"/>
      <c r="J23" s="1"/>
      <c r="K23" s="39"/>
      <c r="L23" s="1"/>
      <c r="M23" s="1"/>
      <c r="N23" s="1"/>
      <c r="O23" s="1"/>
      <c r="P23" s="1"/>
      <c r="Q23" s="1"/>
      <c r="R23" s="1"/>
      <c r="S23" s="1"/>
      <c r="T23" s="39"/>
      <c r="U23" s="1"/>
      <c r="V23" s="1"/>
      <c r="W23" s="1"/>
      <c r="X23" s="1"/>
      <c r="Y23" s="1"/>
      <c r="Z23" s="1"/>
    </row>
    <row r="24" ht="27.75" customHeight="1">
      <c r="A24" s="1"/>
      <c r="B24" s="40" t="s">
        <v>35</v>
      </c>
      <c r="C24" s="44"/>
      <c r="D24" s="46">
        <v>3.0</v>
      </c>
      <c r="E24" s="43" t="str">
        <f t="shared" si="3"/>
        <v>Simple</v>
      </c>
      <c r="F24" s="43">
        <f t="shared" si="4"/>
        <v>5</v>
      </c>
      <c r="G24" s="1"/>
      <c r="H24" s="1"/>
      <c r="I24" s="1"/>
      <c r="J24" s="1"/>
      <c r="K24" s="39"/>
      <c r="L24" s="1"/>
      <c r="M24" s="1"/>
      <c r="N24" s="1"/>
      <c r="O24" s="1"/>
      <c r="P24" s="1"/>
      <c r="Q24" s="1"/>
      <c r="R24" s="1"/>
      <c r="S24" s="1"/>
      <c r="T24" s="39"/>
      <c r="U24" s="1"/>
      <c r="V24" s="1"/>
      <c r="W24" s="1"/>
      <c r="X24" s="1"/>
      <c r="Y24" s="1"/>
      <c r="Z24" s="1"/>
    </row>
    <row r="25" ht="27.75" customHeight="1">
      <c r="A25" s="1"/>
      <c r="B25" s="40" t="s">
        <v>36</v>
      </c>
      <c r="C25" s="41"/>
      <c r="D25" s="46">
        <v>4.0</v>
      </c>
      <c r="E25" s="43" t="str">
        <f t="shared" si="3"/>
        <v>Intermedio</v>
      </c>
      <c r="F25" s="43">
        <f t="shared" si="4"/>
        <v>10</v>
      </c>
      <c r="G25" s="1"/>
      <c r="H25" s="1"/>
      <c r="I25" s="1"/>
      <c r="J25" s="1"/>
      <c r="K25" s="39"/>
      <c r="L25" s="1"/>
      <c r="M25" s="1"/>
      <c r="N25" s="1"/>
      <c r="O25" s="1"/>
      <c r="P25" s="1"/>
      <c r="Q25" s="1"/>
      <c r="R25" s="1"/>
      <c r="S25" s="1"/>
      <c r="T25" s="39"/>
      <c r="U25" s="1"/>
      <c r="V25" s="1"/>
      <c r="W25" s="1"/>
      <c r="X25" s="1"/>
      <c r="Y25" s="1"/>
      <c r="Z25" s="1"/>
    </row>
    <row r="26" ht="27.75" customHeight="1">
      <c r="A26" s="1"/>
      <c r="B26" s="40" t="s">
        <v>37</v>
      </c>
      <c r="C26" s="44"/>
      <c r="D26" s="46">
        <v>3.0</v>
      </c>
      <c r="E26" s="43" t="str">
        <f t="shared" si="3"/>
        <v>Simple</v>
      </c>
      <c r="F26" s="43">
        <f t="shared" si="4"/>
        <v>5</v>
      </c>
      <c r="G26" s="1"/>
      <c r="H26" s="1"/>
      <c r="I26" s="1"/>
      <c r="J26" s="1"/>
      <c r="K26" s="39"/>
      <c r="L26" s="1"/>
      <c r="M26" s="1"/>
      <c r="N26" s="1"/>
      <c r="O26" s="1"/>
      <c r="P26" s="1"/>
      <c r="Q26" s="1"/>
      <c r="R26" s="1"/>
      <c r="S26" s="1"/>
      <c r="T26" s="39"/>
      <c r="U26" s="1"/>
      <c r="V26" s="1"/>
      <c r="W26" s="1"/>
      <c r="X26" s="1"/>
      <c r="Y26" s="1"/>
      <c r="Z26" s="1"/>
    </row>
    <row r="27" ht="27.75" customHeight="1">
      <c r="A27" s="1"/>
      <c r="B27" s="21"/>
      <c r="C27" s="21"/>
      <c r="D27" s="48"/>
      <c r="E27" s="24"/>
      <c r="F27" s="24"/>
      <c r="G27" s="1"/>
      <c r="H27" s="1"/>
      <c r="I27" s="1"/>
      <c r="J27" s="1"/>
      <c r="K27" s="39"/>
      <c r="L27" s="1"/>
      <c r="M27" s="1"/>
      <c r="N27" s="1"/>
      <c r="O27" s="1"/>
      <c r="P27" s="1"/>
      <c r="Q27" s="1"/>
      <c r="R27" s="1"/>
      <c r="S27" s="1"/>
      <c r="T27" s="39"/>
      <c r="U27" s="1"/>
      <c r="V27" s="1"/>
      <c r="W27" s="1"/>
      <c r="X27" s="1"/>
      <c r="Y27" s="1"/>
      <c r="Z27" s="1"/>
    </row>
    <row r="28" ht="27.75" customHeight="1">
      <c r="A28" s="1"/>
      <c r="B28" s="21"/>
      <c r="C28" s="49"/>
      <c r="D28" s="48"/>
      <c r="E28" s="24"/>
      <c r="F28" s="24"/>
      <c r="G28" s="1"/>
      <c r="H28" s="1"/>
      <c r="I28" s="1"/>
      <c r="J28" s="1"/>
      <c r="K28" s="39"/>
      <c r="L28" s="1"/>
      <c r="M28" s="1"/>
      <c r="N28" s="1"/>
      <c r="O28" s="1"/>
      <c r="P28" s="1"/>
      <c r="Q28" s="1"/>
      <c r="R28" s="1"/>
      <c r="S28" s="1"/>
      <c r="T28" s="39"/>
      <c r="U28" s="1"/>
      <c r="V28" s="1"/>
      <c r="W28" s="1"/>
      <c r="X28" s="1"/>
      <c r="Y28" s="1"/>
      <c r="Z28" s="1"/>
    </row>
    <row r="29" ht="27.75" customHeight="1">
      <c r="A29" s="1"/>
      <c r="B29" s="50"/>
      <c r="C29" s="51" t="s">
        <v>38</v>
      </c>
      <c r="D29" s="52"/>
      <c r="E29" s="53"/>
      <c r="F29" s="54">
        <f>SUM(F16:F28)</f>
        <v>95</v>
      </c>
      <c r="G29" s="1"/>
      <c r="H29" s="1"/>
      <c r="I29" s="1"/>
      <c r="J29" s="1"/>
      <c r="K29" s="39"/>
      <c r="L29" s="1"/>
      <c r="M29" s="1"/>
      <c r="N29" s="1"/>
      <c r="O29" s="1"/>
      <c r="P29" s="1"/>
      <c r="Q29" s="1"/>
      <c r="R29" s="1"/>
      <c r="S29" s="1"/>
      <c r="T29" s="39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9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39</v>
      </c>
      <c r="B32" s="55"/>
      <c r="C32" s="29" t="s">
        <v>40</v>
      </c>
      <c r="D32" s="6"/>
      <c r="E32" s="7"/>
      <c r="F32" s="30">
        <f>G12+F29</f>
        <v>98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41</v>
      </c>
      <c r="B35" s="20" t="s">
        <v>42</v>
      </c>
      <c r="C35" s="20" t="s">
        <v>43</v>
      </c>
      <c r="D35" s="19" t="s">
        <v>44</v>
      </c>
      <c r="E35" s="19" t="s">
        <v>9</v>
      </c>
      <c r="F35" s="19" t="s">
        <v>45</v>
      </c>
      <c r="G35" s="19" t="s">
        <v>46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56" t="s">
        <v>47</v>
      </c>
      <c r="C36" s="56" t="s">
        <v>48</v>
      </c>
      <c r="D36" s="57" t="s">
        <v>49</v>
      </c>
      <c r="E36" s="58">
        <v>2.0</v>
      </c>
      <c r="F36" s="25">
        <v>0.0</v>
      </c>
      <c r="G36" s="59">
        <f t="shared" ref="G36:G48" si="5">E36*F36</f>
        <v>0</v>
      </c>
      <c r="H36" s="1" t="s">
        <v>50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56" t="s">
        <v>51</v>
      </c>
      <c r="C37" s="56" t="s">
        <v>48</v>
      </c>
      <c r="D37" s="60" t="s">
        <v>52</v>
      </c>
      <c r="E37" s="59">
        <v>2.0</v>
      </c>
      <c r="F37" s="25">
        <v>5.0</v>
      </c>
      <c r="G37" s="59">
        <f t="shared" si="5"/>
        <v>10</v>
      </c>
      <c r="H37" s="61" t="s">
        <v>53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56" t="s">
        <v>54</v>
      </c>
      <c r="C38" s="56" t="s">
        <v>48</v>
      </c>
      <c r="D38" s="60"/>
      <c r="E38" s="59">
        <v>1.0</v>
      </c>
      <c r="F38" s="25">
        <v>5.0</v>
      </c>
      <c r="G38" s="59">
        <f t="shared" si="5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6" t="s">
        <v>55</v>
      </c>
      <c r="C39" s="56" t="s">
        <v>48</v>
      </c>
      <c r="D39" s="57" t="s">
        <v>56</v>
      </c>
      <c r="E39" s="59">
        <v>1.0</v>
      </c>
      <c r="F39" s="25">
        <v>3.0</v>
      </c>
      <c r="G39" s="59">
        <f t="shared" si="5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56" t="s">
        <v>57</v>
      </c>
      <c r="C40" s="56" t="s">
        <v>48</v>
      </c>
      <c r="D40" s="57" t="s">
        <v>58</v>
      </c>
      <c r="E40" s="58">
        <v>1.0</v>
      </c>
      <c r="F40" s="25">
        <v>0.0</v>
      </c>
      <c r="G40" s="59">
        <f t="shared" si="5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6" t="s">
        <v>59</v>
      </c>
      <c r="C41" s="56" t="s">
        <v>48</v>
      </c>
      <c r="D41" s="60" t="s">
        <v>60</v>
      </c>
      <c r="E41" s="58">
        <v>0.5</v>
      </c>
      <c r="F41" s="25">
        <v>3.0</v>
      </c>
      <c r="G41" s="59">
        <f t="shared" si="5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6" t="s">
        <v>61</v>
      </c>
      <c r="C42" s="56" t="s">
        <v>48</v>
      </c>
      <c r="D42" s="60" t="s">
        <v>62</v>
      </c>
      <c r="E42" s="58">
        <v>0.5</v>
      </c>
      <c r="F42" s="25">
        <v>5.0</v>
      </c>
      <c r="G42" s="59">
        <f t="shared" si="5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6" t="s">
        <v>63</v>
      </c>
      <c r="C43" s="56" t="s">
        <v>48</v>
      </c>
      <c r="D43" s="60" t="s">
        <v>64</v>
      </c>
      <c r="E43" s="58">
        <v>2.0</v>
      </c>
      <c r="F43" s="25">
        <v>3.0</v>
      </c>
      <c r="G43" s="59">
        <f t="shared" si="5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6" t="s">
        <v>65</v>
      </c>
      <c r="C44" s="56" t="s">
        <v>48</v>
      </c>
      <c r="D44" s="57" t="s">
        <v>66</v>
      </c>
      <c r="E44" s="58">
        <v>1.0</v>
      </c>
      <c r="F44" s="25">
        <v>0.0</v>
      </c>
      <c r="G44" s="59">
        <f t="shared" si="5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6" t="s">
        <v>67</v>
      </c>
      <c r="C45" s="56" t="s">
        <v>48</v>
      </c>
      <c r="D45" s="57"/>
      <c r="E45" s="58">
        <v>1.0</v>
      </c>
      <c r="F45" s="25">
        <v>5.0</v>
      </c>
      <c r="G45" s="59">
        <f t="shared" si="5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56" t="s">
        <v>68</v>
      </c>
      <c r="C46" s="56" t="s">
        <v>48</v>
      </c>
      <c r="D46" s="57" t="s">
        <v>69</v>
      </c>
      <c r="E46" s="59">
        <v>1.0</v>
      </c>
      <c r="F46" s="25">
        <v>5.0</v>
      </c>
      <c r="G46" s="59">
        <f t="shared" si="5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56" t="s">
        <v>70</v>
      </c>
      <c r="C47" s="56" t="s">
        <v>48</v>
      </c>
      <c r="D47" s="57" t="s">
        <v>71</v>
      </c>
      <c r="E47" s="59">
        <v>1.0</v>
      </c>
      <c r="F47" s="25">
        <v>5.0</v>
      </c>
      <c r="G47" s="59">
        <f t="shared" si="5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56" t="s">
        <v>72</v>
      </c>
      <c r="C48" s="56" t="s">
        <v>48</v>
      </c>
      <c r="D48" s="57" t="s">
        <v>73</v>
      </c>
      <c r="E48" s="58">
        <v>1.0</v>
      </c>
      <c r="F48" s="25">
        <v>4.0</v>
      </c>
      <c r="G48" s="59">
        <f t="shared" si="5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74</v>
      </c>
      <c r="C49" s="6"/>
      <c r="D49" s="6"/>
      <c r="E49" s="6"/>
      <c r="F49" s="7"/>
      <c r="G49" s="62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75</v>
      </c>
      <c r="C50" s="6"/>
      <c r="D50" s="6"/>
      <c r="E50" s="6"/>
      <c r="F50" s="7"/>
      <c r="G50" s="54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3"/>
      <c r="C52" s="63"/>
      <c r="D52" s="64"/>
      <c r="E52" s="63"/>
      <c r="F52" s="63"/>
      <c r="G52" s="6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76</v>
      </c>
      <c r="B53" s="20" t="s">
        <v>77</v>
      </c>
      <c r="C53" s="20" t="s">
        <v>78</v>
      </c>
      <c r="D53" s="19" t="s">
        <v>79</v>
      </c>
      <c r="E53" s="19" t="s">
        <v>9</v>
      </c>
      <c r="F53" s="19" t="s">
        <v>45</v>
      </c>
      <c r="G53" s="19" t="s">
        <v>46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65" t="s">
        <v>80</v>
      </c>
      <c r="C54" s="56" t="s">
        <v>81</v>
      </c>
      <c r="D54" s="60" t="s">
        <v>82</v>
      </c>
      <c r="E54" s="58">
        <v>1.5</v>
      </c>
      <c r="F54" s="25">
        <v>3.0</v>
      </c>
      <c r="G54" s="59">
        <f t="shared" ref="G54:G61" si="6">E54*F54</f>
        <v>4.5</v>
      </c>
      <c r="H54" s="1" t="s">
        <v>83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65" t="s">
        <v>84</v>
      </c>
      <c r="C55" s="56" t="s">
        <v>81</v>
      </c>
      <c r="D55" s="60" t="s">
        <v>85</v>
      </c>
      <c r="E55" s="58">
        <v>0.5</v>
      </c>
      <c r="F55" s="66">
        <v>4.0</v>
      </c>
      <c r="G55" s="59">
        <f t="shared" si="6"/>
        <v>2</v>
      </c>
      <c r="H55" s="61" t="s">
        <v>53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65" t="s">
        <v>86</v>
      </c>
      <c r="C56" s="56" t="s">
        <v>81</v>
      </c>
      <c r="D56" s="60" t="s">
        <v>87</v>
      </c>
      <c r="E56" s="58">
        <v>1.0</v>
      </c>
      <c r="F56" s="25">
        <v>4.0</v>
      </c>
      <c r="G56" s="59">
        <f t="shared" si="6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65" t="s">
        <v>88</v>
      </c>
      <c r="C57" s="56" t="s">
        <v>81</v>
      </c>
      <c r="D57" s="60" t="s">
        <v>89</v>
      </c>
      <c r="E57" s="58">
        <v>0.5</v>
      </c>
      <c r="F57" s="25">
        <v>3.0</v>
      </c>
      <c r="G57" s="59">
        <f t="shared" si="6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65" t="s">
        <v>90</v>
      </c>
      <c r="C58" s="56" t="s">
        <v>91</v>
      </c>
      <c r="D58" s="57" t="s">
        <v>92</v>
      </c>
      <c r="E58" s="58">
        <v>1.0</v>
      </c>
      <c r="F58" s="25">
        <v>4.0</v>
      </c>
      <c r="G58" s="59">
        <f t="shared" si="6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65" t="s">
        <v>93</v>
      </c>
      <c r="C59" s="56" t="s">
        <v>94</v>
      </c>
      <c r="D59" s="57" t="s">
        <v>95</v>
      </c>
      <c r="E59" s="58">
        <v>2.0</v>
      </c>
      <c r="F59" s="25">
        <v>2.0</v>
      </c>
      <c r="G59" s="59">
        <f t="shared" si="6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65" t="s">
        <v>96</v>
      </c>
      <c r="C60" s="56" t="s">
        <v>97</v>
      </c>
      <c r="D60" s="60" t="s">
        <v>98</v>
      </c>
      <c r="E60" s="58">
        <v>-1.0</v>
      </c>
      <c r="F60" s="25">
        <v>4.0</v>
      </c>
      <c r="G60" s="59">
        <f t="shared" si="6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65" t="s">
        <v>99</v>
      </c>
      <c r="C61" s="56" t="s">
        <v>100</v>
      </c>
      <c r="D61" s="67" t="s">
        <v>101</v>
      </c>
      <c r="E61" s="58">
        <v>-1.0</v>
      </c>
      <c r="F61" s="66">
        <v>4.0</v>
      </c>
      <c r="G61" s="59">
        <f t="shared" si="6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102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103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68"/>
      <c r="D64" s="69"/>
      <c r="E64" s="68"/>
      <c r="F64" s="70" t="s">
        <v>104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105</v>
      </c>
      <c r="B67" s="71" t="s">
        <v>106</v>
      </c>
      <c r="C67" s="6"/>
      <c r="D67" s="6"/>
      <c r="E67" s="6"/>
      <c r="F67" s="7"/>
      <c r="G67" s="72">
        <f>F32*G50*G63</f>
        <v>109.0544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3" t="s">
        <v>107</v>
      </c>
      <c r="B70" s="20" t="s">
        <v>108</v>
      </c>
      <c r="C70" s="20" t="s">
        <v>109</v>
      </c>
      <c r="D70" s="20" t="s">
        <v>110</v>
      </c>
      <c r="E70" s="3"/>
      <c r="F70" s="1"/>
      <c r="G70" s="20" t="s">
        <v>111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74">
        <v>20.0</v>
      </c>
      <c r="C71" s="74">
        <f>IF($G$64&gt;=5,36,IF(AND(G$64&gt;2,$G$64&lt;=4),28, IF(AND($G$64&gt;=0,$G$64&lt;=2),20,"error")))</f>
        <v>28</v>
      </c>
      <c r="D71" s="75">
        <f>IF($G$64&gt;=5,$G$71*(36/20),IF(AND($G$64&gt;2,$G$64&lt;=4),$G$71*(28/20), IF(AND($G$64&gt;=0,$G$64&lt;=2),$G$71,"error")))</f>
        <v>2.8</v>
      </c>
      <c r="E71" s="3"/>
      <c r="F71" s="1"/>
      <c r="G71" s="76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7" t="s">
        <v>112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8" t="s">
        <v>113</v>
      </c>
      <c r="B73" s="74">
        <f t="shared" ref="B73:D73" si="7">$G$67*B71</f>
        <v>2181.088</v>
      </c>
      <c r="C73" s="74">
        <f t="shared" si="7"/>
        <v>3053.5232</v>
      </c>
      <c r="D73" s="74">
        <f t="shared" si="7"/>
        <v>305.35232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8" t="s">
        <v>114</v>
      </c>
      <c r="B74" s="79">
        <f t="shared" ref="B74:C74" si="8">B73/(22*8)</f>
        <v>12.39254545</v>
      </c>
      <c r="C74" s="79">
        <f t="shared" si="8"/>
        <v>17.34956364</v>
      </c>
      <c r="D74" s="80">
        <f>D73/(22*3)</f>
        <v>4.626550303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115</v>
      </c>
      <c r="B77" s="81" t="s">
        <v>116</v>
      </c>
      <c r="C77" s="82"/>
      <c r="D77" s="69"/>
      <c r="E77" s="68"/>
      <c r="F77" s="8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5" t="s">
        <v>117</v>
      </c>
      <c r="C78" s="19" t="s">
        <v>118</v>
      </c>
      <c r="D78" s="72" t="s">
        <v>119</v>
      </c>
      <c r="E78" s="72" t="s">
        <v>120</v>
      </c>
      <c r="F78" s="72" t="s">
        <v>121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4" t="s">
        <v>122</v>
      </c>
      <c r="C79" s="85">
        <v>0.4</v>
      </c>
      <c r="D79" s="79">
        <f t="shared" ref="D79:F79" si="9">$C79/$C$79*B$74</f>
        <v>12.39254545</v>
      </c>
      <c r="E79" s="79">
        <f t="shared" si="9"/>
        <v>17.34956364</v>
      </c>
      <c r="F79" s="79">
        <f t="shared" si="9"/>
        <v>4.626550303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4" t="s">
        <v>123</v>
      </c>
      <c r="C80" s="85">
        <f>1-C79</f>
        <v>0.6</v>
      </c>
      <c r="D80" s="74">
        <f t="shared" ref="D80:F80" si="10">$C80/$C$79*B$74</f>
        <v>18.58881818</v>
      </c>
      <c r="E80" s="74">
        <f t="shared" si="10"/>
        <v>26.02434545</v>
      </c>
      <c r="F80" s="74">
        <f t="shared" si="10"/>
        <v>6.939825455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6"/>
      <c r="C81" s="85">
        <f>SUM(C79:C80)</f>
        <v>1</v>
      </c>
      <c r="D81" s="79">
        <f t="shared" ref="D81:F81" si="11">$C81/$C$79*B$74</f>
        <v>30.98136364</v>
      </c>
      <c r="E81" s="79">
        <f t="shared" si="11"/>
        <v>43.37390909</v>
      </c>
      <c r="F81" s="79">
        <f t="shared" si="11"/>
        <v>11.56637576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124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125</v>
      </c>
      <c r="B85" s="72" t="s">
        <v>126</v>
      </c>
      <c r="C85" s="72" t="s">
        <v>127</v>
      </c>
      <c r="D85" s="72" t="s">
        <v>128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87"/>
      <c r="B86" s="88">
        <f>$D$81/$B$83</f>
        <v>6.196272727</v>
      </c>
      <c r="C86" s="88">
        <f>$E$81/$B$83</f>
        <v>8.674781818</v>
      </c>
      <c r="D86" s="88">
        <f>$F$81/$B$83</f>
        <v>2.313275152</v>
      </c>
      <c r="E86" s="87"/>
      <c r="F86" s="87"/>
      <c r="G86" s="8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87"/>
      <c r="B87" s="87"/>
      <c r="C87" s="87"/>
      <c r="D87" s="87"/>
      <c r="E87" s="89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87"/>
      <c r="B88" s="87"/>
      <c r="C88" s="87"/>
      <c r="D88" s="87"/>
      <c r="E88" s="89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87"/>
      <c r="B89" s="87"/>
      <c r="C89" s="87"/>
      <c r="D89" s="87"/>
      <c r="E89" s="89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87"/>
      <c r="B90" s="87"/>
      <c r="C90" s="87"/>
      <c r="D90" s="87"/>
      <c r="E90" s="89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87"/>
      <c r="B91" s="87"/>
      <c r="C91" s="87"/>
      <c r="D91" s="87"/>
      <c r="E91" s="89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87"/>
      <c r="B92" s="87"/>
      <c r="C92" s="87"/>
      <c r="D92" s="87"/>
      <c r="E92" s="89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87"/>
      <c r="B93" s="87"/>
      <c r="C93" s="87"/>
      <c r="D93" s="87"/>
      <c r="E93" s="89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87"/>
      <c r="B94" s="87"/>
      <c r="C94" s="87"/>
      <c r="D94" s="87"/>
      <c r="E94" s="89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87"/>
      <c r="B95" s="87"/>
      <c r="C95" s="87"/>
      <c r="D95" s="87"/>
      <c r="E95" s="89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87"/>
      <c r="B96" s="87"/>
      <c r="C96" s="87"/>
      <c r="D96" s="87"/>
      <c r="E96" s="89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87"/>
      <c r="B97" s="87"/>
      <c r="C97" s="87"/>
      <c r="D97" s="87"/>
      <c r="E97" s="89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87"/>
      <c r="B98" s="87"/>
      <c r="C98" s="87"/>
      <c r="D98" s="87"/>
      <c r="E98" s="89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87"/>
      <c r="B99" s="87"/>
      <c r="C99" s="87"/>
      <c r="D99" s="87"/>
      <c r="E99" s="89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87"/>
      <c r="B100" s="87"/>
      <c r="C100" s="87"/>
      <c r="D100" s="87"/>
      <c r="E100" s="89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87"/>
      <c r="B101" s="87"/>
      <c r="C101" s="87"/>
      <c r="D101" s="87"/>
      <c r="E101" s="89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87"/>
      <c r="B102" s="87"/>
      <c r="C102" s="87"/>
      <c r="D102" s="87"/>
      <c r="E102" s="89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1"/>
      <c r="B103" s="1"/>
      <c r="C103" s="1"/>
      <c r="D103" s="2"/>
      <c r="E103" s="3"/>
      <c r="F103" s="1"/>
      <c r="G103" s="1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2" location="v=onepage&amp;q=e7%20part-time%20members&amp;f=false" ref="H37"/>
    <hyperlink r:id="rId3" location="v=onepage&amp;q=e7%20part-time%20members&amp;f=false" ref="H55"/>
  </hyperlinks>
  <printOptions/>
  <pageMargins bottom="1.0" footer="0.0" header="0.0" left="0.75" right="0.75" top="1.0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129</v>
      </c>
      <c r="C10" s="22" t="s">
        <v>26</v>
      </c>
      <c r="D10" s="27" t="s">
        <v>130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17</v>
      </c>
      <c r="C11" s="22" t="s">
        <v>13</v>
      </c>
      <c r="D11" s="23" t="s">
        <v>18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19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20</v>
      </c>
      <c r="B15" s="19" t="s">
        <v>21</v>
      </c>
      <c r="C15" s="19" t="s">
        <v>22</v>
      </c>
      <c r="D15" s="20" t="s">
        <v>23</v>
      </c>
      <c r="E15" s="20" t="s">
        <v>24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 t="s">
        <v>27</v>
      </c>
      <c r="C16" s="21"/>
      <c r="D16" s="90">
        <v>6.0</v>
      </c>
      <c r="E16" s="24" t="str">
        <f t="shared" ref="E16:E18" si="1">IF($D16&gt;0,IF($D16&lt;=3,"Simple",IF(AND($D16&gt;3,$D16&lt;7),"Intermedio",IF($D16&gt;=7,"Complejo","error"))),"-")</f>
        <v>Intermedio</v>
      </c>
      <c r="F16" s="24">
        <f t="shared" ref="F16:F18" si="2">IF($D16&gt;0,IF($D16&lt;=3,5,IF(AND($D16&gt;3,$D16&lt;7),10,IF($D16&gt;=7,15,"error"))),0)</f>
        <v>10</v>
      </c>
      <c r="G16" s="1"/>
      <c r="H16" s="1"/>
      <c r="I16" s="1"/>
      <c r="J16" s="1"/>
      <c r="K16" s="39"/>
      <c r="L16" s="1"/>
      <c r="M16" s="1"/>
      <c r="N16" s="1"/>
      <c r="O16" s="1"/>
      <c r="P16" s="1"/>
      <c r="Q16" s="1"/>
      <c r="R16" s="1"/>
      <c r="S16" s="1"/>
      <c r="T16" s="39"/>
      <c r="U16" s="1"/>
      <c r="V16" s="1"/>
      <c r="W16" s="1"/>
      <c r="X16" s="1"/>
      <c r="Y16" s="1"/>
      <c r="Z16" s="1"/>
    </row>
    <row r="17" ht="27.75" customHeight="1">
      <c r="A17" s="1"/>
      <c r="B17" s="21" t="s">
        <v>131</v>
      </c>
      <c r="C17" s="21"/>
      <c r="D17" s="90">
        <v>2.0</v>
      </c>
      <c r="E17" s="24" t="str">
        <f t="shared" si="1"/>
        <v>Simple</v>
      </c>
      <c r="F17" s="24">
        <f t="shared" si="2"/>
        <v>5</v>
      </c>
      <c r="G17" s="1"/>
      <c r="H17" s="1"/>
      <c r="I17" s="1"/>
      <c r="J17" s="1"/>
      <c r="K17" s="39"/>
      <c r="L17" s="1"/>
      <c r="M17" s="1"/>
      <c r="N17" s="1"/>
      <c r="O17" s="1"/>
      <c r="P17" s="1"/>
      <c r="Q17" s="1"/>
      <c r="R17" s="1"/>
      <c r="S17" s="1"/>
      <c r="T17" s="39"/>
      <c r="U17" s="1"/>
      <c r="V17" s="1"/>
      <c r="W17" s="1"/>
      <c r="X17" s="1"/>
      <c r="Y17" s="1"/>
      <c r="Z17" s="1"/>
    </row>
    <row r="18" ht="27.75" customHeight="1">
      <c r="A18" s="1"/>
      <c r="B18" s="21" t="s">
        <v>28</v>
      </c>
      <c r="C18" s="49"/>
      <c r="D18" s="48">
        <v>6.0</v>
      </c>
      <c r="E18" s="24" t="str">
        <f t="shared" si="1"/>
        <v>Intermedio</v>
      </c>
      <c r="F18" s="24">
        <f t="shared" si="2"/>
        <v>10</v>
      </c>
      <c r="G18" s="1"/>
      <c r="H18" s="1"/>
      <c r="I18" s="1"/>
      <c r="J18" s="1"/>
      <c r="K18" s="39"/>
      <c r="L18" s="1"/>
      <c r="M18" s="1"/>
      <c r="N18" s="1"/>
      <c r="O18" s="1"/>
      <c r="P18" s="1"/>
      <c r="Q18" s="1"/>
      <c r="R18" s="1"/>
      <c r="S18" s="1"/>
      <c r="T18" s="39"/>
      <c r="U18" s="1"/>
      <c r="V18" s="1"/>
      <c r="W18" s="1"/>
      <c r="X18" s="1"/>
      <c r="Y18" s="1"/>
      <c r="Z18" s="1"/>
    </row>
    <row r="19" ht="27.75" customHeight="1">
      <c r="A19" s="1"/>
      <c r="B19" s="21" t="s">
        <v>132</v>
      </c>
      <c r="C19" s="49"/>
      <c r="D19" s="48">
        <v>3.0</v>
      </c>
      <c r="E19" s="24" t="s">
        <v>26</v>
      </c>
      <c r="F19" s="24">
        <v>5.0</v>
      </c>
      <c r="G19" s="1"/>
      <c r="H19" s="1"/>
      <c r="I19" s="1"/>
      <c r="J19" s="1"/>
      <c r="K19" s="39"/>
      <c r="L19" s="1"/>
      <c r="M19" s="1"/>
      <c r="N19" s="1"/>
      <c r="O19" s="1"/>
      <c r="P19" s="1"/>
      <c r="Q19" s="1"/>
      <c r="R19" s="1"/>
      <c r="S19" s="1"/>
      <c r="T19" s="39"/>
      <c r="U19" s="1"/>
      <c r="V19" s="1"/>
      <c r="W19" s="1"/>
      <c r="X19" s="1"/>
      <c r="Y19" s="1"/>
      <c r="Z19" s="1"/>
    </row>
    <row r="20" ht="27.75" customHeight="1">
      <c r="A20" s="1"/>
      <c r="B20" s="21" t="s">
        <v>25</v>
      </c>
      <c r="C20" s="49"/>
      <c r="D20" s="48">
        <v>3.0</v>
      </c>
      <c r="E20" s="24" t="str">
        <f t="shared" ref="E20:E22" si="3">IF($D20&gt;0,IF($D20&lt;=3,"Simple",IF(AND($D20&gt;3,$D20&lt;7),"Intermedio",IF($D20&gt;=7,"Complejo","error"))),"-")</f>
        <v>Simple</v>
      </c>
      <c r="F20" s="24">
        <f t="shared" ref="F20:F22" si="4">IF($D20&gt;0,IF($D20&lt;=3,5,IF(AND($D20&gt;3,$D20&lt;7),10,IF($D20&gt;=7,15,"error"))),0)</f>
        <v>5</v>
      </c>
      <c r="G20" s="1"/>
      <c r="H20" s="1"/>
      <c r="I20" s="1"/>
      <c r="J20" s="1"/>
      <c r="K20" s="39"/>
      <c r="L20" s="1"/>
      <c r="M20" s="1"/>
      <c r="N20" s="1"/>
      <c r="O20" s="1"/>
      <c r="P20" s="1"/>
      <c r="Q20" s="1"/>
      <c r="R20" s="1"/>
      <c r="S20" s="1"/>
      <c r="T20" s="39"/>
      <c r="U20" s="1"/>
      <c r="V20" s="1"/>
      <c r="W20" s="1"/>
      <c r="X20" s="1"/>
      <c r="Y20" s="1"/>
      <c r="Z20" s="1"/>
    </row>
    <row r="21" ht="27.75" customHeight="1">
      <c r="A21" s="1"/>
      <c r="B21" s="21" t="s">
        <v>133</v>
      </c>
      <c r="C21" s="49"/>
      <c r="D21" s="48">
        <v>3.0</v>
      </c>
      <c r="E21" s="24" t="str">
        <f t="shared" si="3"/>
        <v>Simple</v>
      </c>
      <c r="F21" s="24">
        <f t="shared" si="4"/>
        <v>5</v>
      </c>
      <c r="G21" s="1"/>
      <c r="H21" s="1"/>
      <c r="I21" s="1"/>
      <c r="J21" s="1"/>
      <c r="K21" s="39"/>
      <c r="L21" s="1"/>
      <c r="M21" s="1"/>
      <c r="N21" s="1"/>
      <c r="O21" s="1"/>
      <c r="P21" s="1"/>
      <c r="Q21" s="1"/>
      <c r="R21" s="1"/>
      <c r="S21" s="1"/>
      <c r="T21" s="39"/>
      <c r="U21" s="1"/>
      <c r="V21" s="1"/>
      <c r="W21" s="1"/>
      <c r="X21" s="1"/>
      <c r="Y21" s="1"/>
      <c r="Z21" s="1"/>
    </row>
    <row r="22" ht="27.75" customHeight="1">
      <c r="A22" s="1"/>
      <c r="B22" s="21" t="s">
        <v>30</v>
      </c>
      <c r="C22" s="49"/>
      <c r="D22" s="48">
        <v>10.0</v>
      </c>
      <c r="E22" s="24" t="str">
        <f t="shared" si="3"/>
        <v>Complejo</v>
      </c>
      <c r="F22" s="24">
        <f t="shared" si="4"/>
        <v>15</v>
      </c>
      <c r="G22" s="1"/>
      <c r="H22" s="1"/>
      <c r="I22" s="1"/>
      <c r="J22" s="1"/>
      <c r="K22" s="39"/>
      <c r="L22" s="1"/>
      <c r="M22" s="1"/>
      <c r="N22" s="1"/>
      <c r="O22" s="1"/>
      <c r="P22" s="1"/>
      <c r="Q22" s="1"/>
      <c r="R22" s="1"/>
      <c r="S22" s="1"/>
      <c r="T22" s="39"/>
      <c r="U22" s="1"/>
      <c r="V22" s="1"/>
      <c r="W22" s="1"/>
      <c r="X22" s="1"/>
      <c r="Y22" s="1"/>
      <c r="Z22" s="1"/>
    </row>
    <row r="23" ht="27.75" customHeight="1">
      <c r="A23" s="1"/>
      <c r="B23" s="21" t="s">
        <v>31</v>
      </c>
      <c r="C23" s="49"/>
      <c r="D23" s="48">
        <v>4.0</v>
      </c>
      <c r="E23" s="24" t="s">
        <v>32</v>
      </c>
      <c r="F23" s="24">
        <v>10.0</v>
      </c>
      <c r="G23" s="1"/>
      <c r="H23" s="1"/>
      <c r="I23" s="1"/>
      <c r="J23" s="1"/>
      <c r="K23" s="39"/>
      <c r="L23" s="1"/>
      <c r="M23" s="1"/>
      <c r="N23" s="1"/>
      <c r="O23" s="1"/>
      <c r="P23" s="1"/>
      <c r="Q23" s="1"/>
      <c r="R23" s="1"/>
      <c r="S23" s="1"/>
      <c r="T23" s="39"/>
      <c r="U23" s="1"/>
      <c r="V23" s="1"/>
      <c r="W23" s="1"/>
      <c r="X23" s="1"/>
      <c r="Y23" s="1"/>
      <c r="Z23" s="1"/>
    </row>
    <row r="24" ht="27.75" customHeight="1">
      <c r="A24" s="1"/>
      <c r="B24" s="21" t="s">
        <v>33</v>
      </c>
      <c r="C24" s="49"/>
      <c r="D24" s="48">
        <v>4.0</v>
      </c>
      <c r="E24" s="24" t="str">
        <f t="shared" ref="E24:E28" si="5">IF($D24&gt;0,IF($D24&lt;=3,"Simple",IF(AND($D24&gt;3,$D24&lt;7),"Intermedio",IF($D24&gt;=7,"Complejo","error"))),"-")</f>
        <v>Intermedio</v>
      </c>
      <c r="F24" s="24">
        <f t="shared" ref="F24:F28" si="6">IF($D24&gt;0,IF($D24&lt;=3,5,IF(AND($D24&gt;3,$D24&lt;7),10,IF($D24&gt;=7,15,"error"))),0)</f>
        <v>10</v>
      </c>
      <c r="G24" s="1"/>
      <c r="H24" s="1"/>
      <c r="I24" s="1"/>
      <c r="J24" s="1"/>
      <c r="K24" s="39"/>
      <c r="L24" s="1"/>
      <c r="M24" s="1"/>
      <c r="N24" s="1"/>
      <c r="O24" s="1"/>
      <c r="P24" s="1"/>
      <c r="Q24" s="1"/>
      <c r="R24" s="1"/>
      <c r="S24" s="1"/>
      <c r="T24" s="39"/>
      <c r="U24" s="1"/>
      <c r="V24" s="1"/>
      <c r="W24" s="1"/>
      <c r="X24" s="1"/>
      <c r="Y24" s="1"/>
      <c r="Z24" s="1"/>
    </row>
    <row r="25" ht="27.75" customHeight="1">
      <c r="A25" s="1"/>
      <c r="B25" s="21" t="s">
        <v>34</v>
      </c>
      <c r="C25" s="49"/>
      <c r="D25" s="48">
        <v>3.0</v>
      </c>
      <c r="E25" s="24" t="str">
        <f t="shared" si="5"/>
        <v>Simple</v>
      </c>
      <c r="F25" s="24">
        <f t="shared" si="6"/>
        <v>5</v>
      </c>
      <c r="G25" s="1"/>
      <c r="H25" s="1"/>
      <c r="I25" s="1"/>
      <c r="J25" s="1"/>
      <c r="K25" s="39"/>
      <c r="L25" s="1"/>
      <c r="M25" s="1"/>
      <c r="N25" s="1"/>
      <c r="O25" s="1"/>
      <c r="P25" s="1"/>
      <c r="Q25" s="1"/>
      <c r="R25" s="1"/>
      <c r="S25" s="1"/>
      <c r="T25" s="39"/>
      <c r="U25" s="1"/>
      <c r="V25" s="1"/>
      <c r="W25" s="1"/>
      <c r="X25" s="1"/>
      <c r="Y25" s="1"/>
      <c r="Z25" s="1"/>
    </row>
    <row r="26" ht="27.75" customHeight="1">
      <c r="A26" s="1"/>
      <c r="B26" s="21" t="s">
        <v>35</v>
      </c>
      <c r="C26" s="49"/>
      <c r="D26" s="4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9"/>
      <c r="L26" s="1"/>
      <c r="M26" s="1"/>
      <c r="N26" s="1"/>
      <c r="O26" s="1"/>
      <c r="P26" s="1"/>
      <c r="Q26" s="1"/>
      <c r="R26" s="1"/>
      <c r="S26" s="1"/>
      <c r="T26" s="39"/>
      <c r="U26" s="1"/>
      <c r="V26" s="1"/>
      <c r="W26" s="1"/>
      <c r="X26" s="1"/>
      <c r="Y26" s="1"/>
      <c r="Z26" s="1"/>
    </row>
    <row r="27" ht="27.75" customHeight="1">
      <c r="A27" s="1"/>
      <c r="B27" s="21" t="s">
        <v>36</v>
      </c>
      <c r="C27" s="21"/>
      <c r="D27" s="48">
        <v>4.0</v>
      </c>
      <c r="E27" s="24" t="str">
        <f t="shared" si="5"/>
        <v>Intermedio</v>
      </c>
      <c r="F27" s="24">
        <f t="shared" si="6"/>
        <v>10</v>
      </c>
      <c r="G27" s="1"/>
      <c r="H27" s="1"/>
      <c r="I27" s="1"/>
      <c r="J27" s="1"/>
      <c r="K27" s="39"/>
      <c r="L27" s="1"/>
      <c r="M27" s="1"/>
      <c r="N27" s="1"/>
      <c r="O27" s="1"/>
      <c r="P27" s="1"/>
      <c r="Q27" s="1"/>
      <c r="R27" s="1"/>
      <c r="S27" s="1"/>
      <c r="T27" s="39"/>
      <c r="U27" s="1"/>
      <c r="V27" s="1"/>
      <c r="W27" s="1"/>
      <c r="X27" s="1"/>
      <c r="Y27" s="1"/>
      <c r="Z27" s="1"/>
    </row>
    <row r="28" ht="27.75" customHeight="1">
      <c r="A28" s="1"/>
      <c r="B28" s="21" t="s">
        <v>37</v>
      </c>
      <c r="C28" s="49"/>
      <c r="D28" s="48">
        <v>3.0</v>
      </c>
      <c r="E28" s="24" t="str">
        <f t="shared" si="5"/>
        <v>Simple</v>
      </c>
      <c r="F28" s="24">
        <f t="shared" si="6"/>
        <v>5</v>
      </c>
      <c r="G28" s="1"/>
      <c r="H28" s="1"/>
      <c r="I28" s="1"/>
      <c r="J28" s="1"/>
      <c r="K28" s="39"/>
      <c r="L28" s="1"/>
      <c r="M28" s="1"/>
      <c r="N28" s="1"/>
      <c r="O28" s="1"/>
      <c r="P28" s="1"/>
      <c r="Q28" s="1"/>
      <c r="R28" s="1"/>
      <c r="S28" s="1"/>
      <c r="T28" s="39"/>
      <c r="U28" s="1"/>
      <c r="V28" s="1"/>
      <c r="W28" s="1"/>
      <c r="X28" s="1"/>
      <c r="Y28" s="1"/>
      <c r="Z28" s="1"/>
    </row>
    <row r="29" ht="27.75" customHeight="1">
      <c r="A29" s="1"/>
      <c r="B29" s="50"/>
      <c r="C29" s="51" t="s">
        <v>38</v>
      </c>
      <c r="D29" s="52"/>
      <c r="E29" s="53"/>
      <c r="F29" s="54">
        <f>SUM(F16:F28)</f>
        <v>100</v>
      </c>
      <c r="G29" s="1"/>
      <c r="H29" s="1"/>
      <c r="I29" s="1"/>
      <c r="J29" s="1"/>
      <c r="K29" s="39"/>
      <c r="L29" s="1"/>
      <c r="M29" s="1"/>
      <c r="N29" s="1"/>
      <c r="O29" s="1"/>
      <c r="P29" s="1"/>
      <c r="Q29" s="1"/>
      <c r="R29" s="1"/>
      <c r="S29" s="1"/>
      <c r="T29" s="39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9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39</v>
      </c>
      <c r="B32" s="55"/>
      <c r="C32" s="29" t="s">
        <v>134</v>
      </c>
      <c r="D32" s="6"/>
      <c r="E32" s="7"/>
      <c r="F32" s="30">
        <f>G12+F29</f>
        <v>104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41</v>
      </c>
      <c r="B35" s="20" t="s">
        <v>42</v>
      </c>
      <c r="C35" s="20" t="s">
        <v>43</v>
      </c>
      <c r="D35" s="19" t="s">
        <v>44</v>
      </c>
      <c r="E35" s="19" t="s">
        <v>9</v>
      </c>
      <c r="F35" s="19" t="s">
        <v>45</v>
      </c>
      <c r="G35" s="19" t="s">
        <v>46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56" t="s">
        <v>47</v>
      </c>
      <c r="C36" s="56" t="s">
        <v>48</v>
      </c>
      <c r="D36" s="57" t="s">
        <v>49</v>
      </c>
      <c r="E36" s="58">
        <v>2.0</v>
      </c>
      <c r="F36" s="25">
        <v>0.0</v>
      </c>
      <c r="G36" s="59">
        <f t="shared" ref="G36:G48" si="7">E36*F36</f>
        <v>0</v>
      </c>
      <c r="H36" s="1" t="s">
        <v>50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56" t="s">
        <v>51</v>
      </c>
      <c r="C37" s="56" t="s">
        <v>48</v>
      </c>
      <c r="D37" s="60" t="s">
        <v>52</v>
      </c>
      <c r="E37" s="59">
        <v>2.0</v>
      </c>
      <c r="F37" s="25">
        <v>5.0</v>
      </c>
      <c r="G37" s="59">
        <f t="shared" si="7"/>
        <v>10</v>
      </c>
      <c r="H37" s="61" t="s">
        <v>53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56" t="s">
        <v>54</v>
      </c>
      <c r="C38" s="56" t="s">
        <v>48</v>
      </c>
      <c r="D38" s="60"/>
      <c r="E38" s="59">
        <v>1.0</v>
      </c>
      <c r="F38" s="25">
        <v>5.0</v>
      </c>
      <c r="G38" s="59">
        <f t="shared" si="7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6" t="s">
        <v>55</v>
      </c>
      <c r="C39" s="56" t="s">
        <v>48</v>
      </c>
      <c r="D39" s="57" t="s">
        <v>56</v>
      </c>
      <c r="E39" s="59">
        <v>1.0</v>
      </c>
      <c r="F39" s="25">
        <v>3.0</v>
      </c>
      <c r="G39" s="59">
        <f t="shared" si="7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56" t="s">
        <v>57</v>
      </c>
      <c r="C40" s="56" t="s">
        <v>48</v>
      </c>
      <c r="D40" s="57" t="s">
        <v>58</v>
      </c>
      <c r="E40" s="58">
        <v>1.0</v>
      </c>
      <c r="F40" s="25">
        <v>0.0</v>
      </c>
      <c r="G40" s="59">
        <f t="shared" si="7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6" t="s">
        <v>59</v>
      </c>
      <c r="C41" s="56" t="s">
        <v>48</v>
      </c>
      <c r="D41" s="60" t="s">
        <v>60</v>
      </c>
      <c r="E41" s="58">
        <v>0.5</v>
      </c>
      <c r="F41" s="25">
        <v>3.0</v>
      </c>
      <c r="G41" s="59">
        <f t="shared" si="7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6" t="s">
        <v>61</v>
      </c>
      <c r="C42" s="56" t="s">
        <v>48</v>
      </c>
      <c r="D42" s="60" t="s">
        <v>62</v>
      </c>
      <c r="E42" s="58">
        <v>0.5</v>
      </c>
      <c r="F42" s="25">
        <v>5.0</v>
      </c>
      <c r="G42" s="59">
        <f t="shared" si="7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6" t="s">
        <v>63</v>
      </c>
      <c r="C43" s="56" t="s">
        <v>48</v>
      </c>
      <c r="D43" s="60" t="s">
        <v>64</v>
      </c>
      <c r="E43" s="58">
        <v>2.0</v>
      </c>
      <c r="F43" s="25">
        <v>3.0</v>
      </c>
      <c r="G43" s="59">
        <f t="shared" si="7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6" t="s">
        <v>65</v>
      </c>
      <c r="C44" s="56" t="s">
        <v>48</v>
      </c>
      <c r="D44" s="57" t="s">
        <v>66</v>
      </c>
      <c r="E44" s="58">
        <v>1.0</v>
      </c>
      <c r="F44" s="25">
        <v>0.0</v>
      </c>
      <c r="G44" s="59">
        <f t="shared" si="7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6" t="s">
        <v>67</v>
      </c>
      <c r="C45" s="56" t="s">
        <v>48</v>
      </c>
      <c r="D45" s="57"/>
      <c r="E45" s="58">
        <v>1.0</v>
      </c>
      <c r="F45" s="25">
        <v>5.0</v>
      </c>
      <c r="G45" s="59">
        <f t="shared" si="7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56" t="s">
        <v>68</v>
      </c>
      <c r="C46" s="56" t="s">
        <v>48</v>
      </c>
      <c r="D46" s="57" t="s">
        <v>69</v>
      </c>
      <c r="E46" s="59">
        <v>1.0</v>
      </c>
      <c r="F46" s="25">
        <v>5.0</v>
      </c>
      <c r="G46" s="59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56" t="s">
        <v>70</v>
      </c>
      <c r="C47" s="56" t="s">
        <v>48</v>
      </c>
      <c r="D47" s="57" t="s">
        <v>71</v>
      </c>
      <c r="E47" s="59">
        <v>1.0</v>
      </c>
      <c r="F47" s="25">
        <v>5.0</v>
      </c>
      <c r="G47" s="59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56" t="s">
        <v>72</v>
      </c>
      <c r="C48" s="56" t="s">
        <v>48</v>
      </c>
      <c r="D48" s="57" t="s">
        <v>73</v>
      </c>
      <c r="E48" s="58">
        <v>1.0</v>
      </c>
      <c r="F48" s="25">
        <v>4.0</v>
      </c>
      <c r="G48" s="59">
        <f t="shared" si="7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74</v>
      </c>
      <c r="C49" s="6"/>
      <c r="D49" s="6"/>
      <c r="E49" s="6"/>
      <c r="F49" s="7"/>
      <c r="G49" s="62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135</v>
      </c>
      <c r="C50" s="6"/>
      <c r="D50" s="6"/>
      <c r="E50" s="6"/>
      <c r="F50" s="7"/>
      <c r="G50" s="54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3"/>
      <c r="C52" s="63"/>
      <c r="D52" s="64"/>
      <c r="E52" s="63"/>
      <c r="F52" s="63"/>
      <c r="G52" s="6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76</v>
      </c>
      <c r="B53" s="20" t="s">
        <v>77</v>
      </c>
      <c r="C53" s="20" t="s">
        <v>78</v>
      </c>
      <c r="D53" s="19" t="s">
        <v>79</v>
      </c>
      <c r="E53" s="19" t="s">
        <v>9</v>
      </c>
      <c r="F53" s="19" t="s">
        <v>45</v>
      </c>
      <c r="G53" s="19" t="s">
        <v>46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65" t="s">
        <v>80</v>
      </c>
      <c r="C54" s="56" t="s">
        <v>81</v>
      </c>
      <c r="D54" s="60" t="s">
        <v>82</v>
      </c>
      <c r="E54" s="58">
        <v>1.5</v>
      </c>
      <c r="F54" s="25">
        <v>3.0</v>
      </c>
      <c r="G54" s="59">
        <f t="shared" ref="G54:G61" si="8">E54*F54</f>
        <v>4.5</v>
      </c>
      <c r="H54" s="1" t="s">
        <v>83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65" t="s">
        <v>84</v>
      </c>
      <c r="C55" s="56" t="s">
        <v>81</v>
      </c>
      <c r="D55" s="60" t="s">
        <v>85</v>
      </c>
      <c r="E55" s="58">
        <v>0.5</v>
      </c>
      <c r="F55" s="66">
        <v>4.0</v>
      </c>
      <c r="G55" s="59">
        <f t="shared" si="8"/>
        <v>2</v>
      </c>
      <c r="H55" s="61" t="s">
        <v>53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65" t="s">
        <v>86</v>
      </c>
      <c r="C56" s="56" t="s">
        <v>81</v>
      </c>
      <c r="D56" s="60" t="s">
        <v>87</v>
      </c>
      <c r="E56" s="58">
        <v>1.0</v>
      </c>
      <c r="F56" s="25">
        <v>4.0</v>
      </c>
      <c r="G56" s="59">
        <f t="shared" si="8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65" t="s">
        <v>88</v>
      </c>
      <c r="C57" s="56" t="s">
        <v>81</v>
      </c>
      <c r="D57" s="60" t="s">
        <v>89</v>
      </c>
      <c r="E57" s="58">
        <v>0.5</v>
      </c>
      <c r="F57" s="25">
        <v>3.0</v>
      </c>
      <c r="G57" s="59">
        <f t="shared" si="8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65" t="s">
        <v>90</v>
      </c>
      <c r="C58" s="56" t="s">
        <v>91</v>
      </c>
      <c r="D58" s="57" t="s">
        <v>92</v>
      </c>
      <c r="E58" s="58">
        <v>1.0</v>
      </c>
      <c r="F58" s="25">
        <v>4.0</v>
      </c>
      <c r="G58" s="59">
        <f t="shared" si="8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65" t="s">
        <v>93</v>
      </c>
      <c r="C59" s="56" t="s">
        <v>94</v>
      </c>
      <c r="D59" s="57" t="s">
        <v>95</v>
      </c>
      <c r="E59" s="58">
        <v>2.0</v>
      </c>
      <c r="F59" s="25">
        <v>2.0</v>
      </c>
      <c r="G59" s="59">
        <f t="shared" si="8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65" t="s">
        <v>96</v>
      </c>
      <c r="C60" s="56" t="s">
        <v>97</v>
      </c>
      <c r="D60" s="60" t="s">
        <v>98</v>
      </c>
      <c r="E60" s="58">
        <v>-1.0</v>
      </c>
      <c r="F60" s="25">
        <v>4.0</v>
      </c>
      <c r="G60" s="59">
        <f t="shared" si="8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65" t="s">
        <v>99</v>
      </c>
      <c r="C61" s="56" t="s">
        <v>100</v>
      </c>
      <c r="D61" s="67" t="s">
        <v>101</v>
      </c>
      <c r="E61" s="58">
        <v>-1.0</v>
      </c>
      <c r="F61" s="66">
        <v>4.0</v>
      </c>
      <c r="G61" s="59">
        <f t="shared" si="8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102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136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68"/>
      <c r="D64" s="69"/>
      <c r="E64" s="68"/>
      <c r="F64" s="70" t="s">
        <v>104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105</v>
      </c>
      <c r="B67" s="71" t="s">
        <v>137</v>
      </c>
      <c r="C67" s="6"/>
      <c r="D67" s="6"/>
      <c r="E67" s="6"/>
      <c r="F67" s="7"/>
      <c r="G67" s="72">
        <f>F32*G50*G63</f>
        <v>115.7312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3" t="s">
        <v>107</v>
      </c>
      <c r="B70" s="20" t="s">
        <v>108</v>
      </c>
      <c r="C70" s="20" t="s">
        <v>109</v>
      </c>
      <c r="D70" s="20" t="s">
        <v>110</v>
      </c>
      <c r="E70" s="3"/>
      <c r="F70" s="1"/>
      <c r="G70" s="20" t="s">
        <v>111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74">
        <v>20.0</v>
      </c>
      <c r="C71" s="74">
        <f>IF($G$64&gt;=5,36,IF(AND(G$64&gt;2,$G$64&lt;=4),28, IF(AND($G$64&gt;=0,$G$64&lt;=2),20,"error")))</f>
        <v>28</v>
      </c>
      <c r="D71" s="75">
        <f>IF($G$64&gt;=5,$G$71*(36/20),IF(AND($G$64&gt;2,$G$64&lt;=4),$G$71*(28/20), IF(AND($G$64&gt;=0,$G$64&lt;=2),$G$71,"error")))</f>
        <v>2.8</v>
      </c>
      <c r="E71" s="3"/>
      <c r="F71" s="1"/>
      <c r="G71" s="91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7" t="s">
        <v>112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8" t="s">
        <v>113</v>
      </c>
      <c r="B73" s="74">
        <f t="shared" ref="B73:D73" si="9">$G$67*B71</f>
        <v>2314.624</v>
      </c>
      <c r="C73" s="74">
        <f t="shared" si="9"/>
        <v>3240.4736</v>
      </c>
      <c r="D73" s="74">
        <f t="shared" si="9"/>
        <v>324.04736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8" t="s">
        <v>114</v>
      </c>
      <c r="B74" s="79">
        <f t="shared" ref="B74:C74" si="10">B73/(22*8)</f>
        <v>13.15127273</v>
      </c>
      <c r="C74" s="79">
        <f t="shared" si="10"/>
        <v>18.41178182</v>
      </c>
      <c r="D74" s="80">
        <f>D73/(22*3)</f>
        <v>4.909808485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115</v>
      </c>
      <c r="B77" s="81" t="s">
        <v>116</v>
      </c>
      <c r="C77" s="82"/>
      <c r="D77" s="69"/>
      <c r="E77" s="68"/>
      <c r="F77" s="8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5" t="s">
        <v>117</v>
      </c>
      <c r="C78" s="19" t="s">
        <v>118</v>
      </c>
      <c r="D78" s="72" t="s">
        <v>119</v>
      </c>
      <c r="E78" s="72" t="s">
        <v>120</v>
      </c>
      <c r="F78" s="72" t="s">
        <v>121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4" t="s">
        <v>122</v>
      </c>
      <c r="C79" s="85">
        <v>0.4</v>
      </c>
      <c r="D79" s="79">
        <f t="shared" ref="D79:F79" si="11">$C79/$C$79*B$74</f>
        <v>13.15127273</v>
      </c>
      <c r="E79" s="79">
        <f t="shared" si="11"/>
        <v>18.41178182</v>
      </c>
      <c r="F79" s="79">
        <f t="shared" si="11"/>
        <v>4.909808485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4" t="s">
        <v>123</v>
      </c>
      <c r="C80" s="85">
        <f>1-C79</f>
        <v>0.6</v>
      </c>
      <c r="D80" s="74">
        <f t="shared" ref="D80:F80" si="12">$C80/$C$79*B$74</f>
        <v>19.72690909</v>
      </c>
      <c r="E80" s="74">
        <f t="shared" si="12"/>
        <v>27.61767273</v>
      </c>
      <c r="F80" s="74">
        <f t="shared" si="12"/>
        <v>7.364712727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6"/>
      <c r="C81" s="85">
        <f>SUM(C79:C80)</f>
        <v>1</v>
      </c>
      <c r="D81" s="79">
        <f t="shared" ref="D81:F81" si="13">$C81/$C$79*B$74</f>
        <v>32.87818182</v>
      </c>
      <c r="E81" s="79">
        <f t="shared" si="13"/>
        <v>46.02945455</v>
      </c>
      <c r="F81" s="79">
        <f t="shared" si="13"/>
        <v>12.27452121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124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125</v>
      </c>
      <c r="B85" s="72" t="s">
        <v>126</v>
      </c>
      <c r="C85" s="72" t="s">
        <v>127</v>
      </c>
      <c r="D85" s="72" t="s">
        <v>128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87"/>
      <c r="B86" s="88">
        <f>$D$81/$B$83</f>
        <v>6.575636364</v>
      </c>
      <c r="C86" s="88">
        <f>$E$81/$B$83</f>
        <v>9.205890909</v>
      </c>
      <c r="D86" s="88">
        <f>$F$81/$B$83</f>
        <v>2.454904242</v>
      </c>
      <c r="E86" s="87"/>
      <c r="F86" s="87"/>
      <c r="G86" s="8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87"/>
      <c r="B87" s="87"/>
      <c r="C87" s="87"/>
      <c r="D87" s="87"/>
      <c r="E87" s="89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87"/>
      <c r="B88" s="87"/>
      <c r="C88" s="87"/>
      <c r="D88" s="87"/>
      <c r="E88" s="89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87"/>
      <c r="B89" s="87"/>
      <c r="C89" s="87"/>
      <c r="D89" s="87"/>
      <c r="E89" s="89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87"/>
      <c r="B90" s="87"/>
      <c r="C90" s="87"/>
      <c r="D90" s="87"/>
      <c r="E90" s="89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87"/>
      <c r="B91" s="87"/>
      <c r="C91" s="87"/>
      <c r="D91" s="87"/>
      <c r="E91" s="89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87"/>
      <c r="B92" s="87"/>
      <c r="C92" s="87"/>
      <c r="D92" s="87"/>
      <c r="E92" s="89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87"/>
      <c r="B93" s="87"/>
      <c r="C93" s="87"/>
      <c r="D93" s="87"/>
      <c r="E93" s="89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87"/>
      <c r="B94" s="87"/>
      <c r="C94" s="87"/>
      <c r="D94" s="87"/>
      <c r="E94" s="89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87"/>
      <c r="B95" s="87"/>
      <c r="C95" s="87"/>
      <c r="D95" s="87"/>
      <c r="E95" s="89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87"/>
      <c r="B96" s="87"/>
      <c r="C96" s="87"/>
      <c r="D96" s="87"/>
      <c r="E96" s="89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87"/>
      <c r="B97" s="87"/>
      <c r="C97" s="87"/>
      <c r="D97" s="87"/>
      <c r="E97" s="89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87"/>
      <c r="B98" s="87"/>
      <c r="C98" s="87"/>
      <c r="D98" s="87"/>
      <c r="E98" s="89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87"/>
      <c r="B99" s="87"/>
      <c r="C99" s="87"/>
      <c r="D99" s="87"/>
      <c r="E99" s="89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87"/>
      <c r="B100" s="87"/>
      <c r="C100" s="87"/>
      <c r="D100" s="87"/>
      <c r="E100" s="89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87"/>
      <c r="B101" s="87"/>
      <c r="C101" s="87"/>
      <c r="D101" s="87"/>
      <c r="E101" s="89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87"/>
      <c r="B102" s="87"/>
      <c r="C102" s="87"/>
      <c r="D102" s="87"/>
      <c r="E102" s="89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1"/>
      <c r="B103" s="1"/>
      <c r="C103" s="1"/>
      <c r="D103" s="2"/>
      <c r="E103" s="3"/>
      <c r="F103" s="1"/>
      <c r="G103" s="1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1" location="v=onepage&amp;q=e7%20part-time%20members&amp;f=false" ref="H37"/>
    <hyperlink r:id="rId2" location="v=onepage&amp;q=e7%20part-time%20members&amp;f=false" ref="H55"/>
  </hyperlinks>
  <printOptions/>
  <pageMargins bottom="1.0" footer="0.0" header="0.0" left="0.75" right="0.75" top="1.0"/>
  <pageSetup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