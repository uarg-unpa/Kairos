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ada" sheetId="1" r:id="rId4"/>
    <sheet state="visible" name="Identificación y Evaluación" sheetId="2" r:id="rId5"/>
    <sheet state="visible" name="Resumen" sheetId="3" r:id="rId6"/>
    <sheet state="visible" name="Análisis" sheetId="4" r:id="rId7"/>
  </sheets>
  <definedNames>
    <definedName hidden="1" localSheetId="3" name="_xlnm._FilterDatabase">'Análisis'!$C$1:$C$480</definedName>
  </definedNames>
  <calcPr/>
</workbook>
</file>

<file path=xl/sharedStrings.xml><?xml version="1.0" encoding="utf-8"?>
<sst xmlns="http://schemas.openxmlformats.org/spreadsheetml/2006/main" count="115" uniqueCount="51">
  <si>
    <t>Gestión de Riesgos</t>
  </si>
  <si>
    <t>Anexo 1. Identificación, Evaluación y Análisis</t>
  </si>
  <si>
    <t>Kairos</t>
  </si>
  <si>
    <t>Fase Construcción, Iteración N° 1</t>
  </si>
  <si>
    <t>NexTech</t>
  </si>
  <si>
    <t>Compromiso del Cliente</t>
  </si>
  <si>
    <t>Puntos</t>
  </si>
  <si>
    <t>¿Analizar?</t>
  </si>
  <si>
    <t>N° de preguntas respondidas / Puntuación Total</t>
  </si>
  <si>
    <t>Puntos Posibles</t>
  </si>
  <si>
    <t>Impacto (5=Más Alto, 1=Más Bajo)</t>
  </si>
  <si>
    <t>Rating (Puntuación/Puntos Posibles)*Impacto</t>
  </si>
  <si>
    <t>Comentarios:</t>
  </si>
  <si>
    <t>Definición del Cliente</t>
  </si>
  <si>
    <t>Cronograma</t>
  </si>
  <si>
    <t>Dada la posible ausencia de algún integrante del grupo, podría ocurrir que ciertas tareas queden sin responsable, lo que conduciría a sobrecarga de trabajo para el resto del equipo y retrasos en entregas.</t>
  </si>
  <si>
    <t>Dada la inexperiencia del equipo, podrían ocurrir dificultades en la planificación del proyecto y estimación de tareas, lo que conduciría a una mala planificación del proyecto.</t>
  </si>
  <si>
    <t>Dada la falta de definición clara de los requerimientos funcionales, podría ocurrir que se desarrollen funcionalidades que no respondan a las necesidades reales, lo que conduciría a retrabajo y retraso en la planificación.</t>
  </si>
  <si>
    <t>Dado que la documentación se realiza en paralelo con el desarrollo podría ocurrir que no se registren todos los cambios a tiempo lo que conduciría a documentación incompleta y dificultades en mantenimiento futuro.</t>
  </si>
  <si>
    <t>Dado el contexto político y social (huelgas, paros, manifestaciones), podría ocurrir la imposibilidad de asistir a clases o que las mismas se vean interrumpidas, lo que conduciría a pérdida de tiempo efectivo de trabajo en grupo y demoras en la entrega.</t>
  </si>
  <si>
    <t>Dada la duración acotada del cuatrimestre y múltiple entregas parciales podría ocurrir que no se pueda completar todas las funcionalidades propuestas lo que conduciría a entregar un producto incompleto o recortado.</t>
  </si>
  <si>
    <t>Experiencia y Capacidad</t>
  </si>
  <si>
    <t>Dado el poco conocimiento en PHP del equipo, podría ocurrir una dificultad significativa en el entendimiento y mantenimiento del sistema UARGFlow, lo que conduciría a demoras en la integración con el sistema Kairos, aumento de la curva de aprendizaje y posibles errores en la adaptación.</t>
  </si>
  <si>
    <t>Dada la escasa verificación de avances o falta de reuniones periódicas podría ocurrir que los entregables no cumplan con las expectativas lo que conduciría a necesidad de correcciones a ultimo momento y retraso en las entregas</t>
  </si>
  <si>
    <t>Duración y Tamaño</t>
  </si>
  <si>
    <t>Legal y Contractual</t>
  </si>
  <si>
    <t>Tecnología</t>
  </si>
  <si>
    <t>Dada la falta de documentación del sistema UARGFlow, podría ocurrir que la migración del sistema de PHP a Spring Boot podría presentar dificultades en la interpretación del código y funcionalidades, lo que conduciría a errores en la implementación, pérdida de características que puedan ser importantes y mayor esfuerzo de validación y pruebas.</t>
  </si>
  <si>
    <t xml:space="preserve">	Dada la falta de conocimientos en herramientas y tecnologías podría ocurrir la dificultad para configurar entornos o utilizar frameworks correctamente, lo que conduciría a retrasos en el inicio del desarrollo y errores recurrentes en el código.</t>
  </si>
  <si>
    <t>Complejidad</t>
  </si>
  <si>
    <t>Dado que puede no existir un conjunto de datos de prueba adecuado, podría ocurrir que el sistema se valide con información poco representativa, lo que conduciría a errores no detectados hasta etapas tardías.</t>
  </si>
  <si>
    <t>Dada la escasa experiencia en el desarrollo de software podría ocurrir una arquitectura mal planificada, lo que conduciría a dificultades para integrar módulos, escalar el sistema o corregir fallos.</t>
  </si>
  <si>
    <t>Dada la falta de experiencia en control de versiones podría ocurrir la perdida de código o documentación, lo que conduciría a retrabajos y demoras en entregas.</t>
  </si>
  <si>
    <t>Aspectos Financieros</t>
  </si>
  <si>
    <t>Subcontratistas</t>
  </si>
  <si>
    <t>Dado que el proyecto depende del uso de herramientas gratuitas podría ocurrir la limitación en la capacidad o disponibilidad de dichas plataformas lo que conduciría a dificultades para coordinar tareas y perdida de información critica</t>
  </si>
  <si>
    <t>Resumen de Riesgos</t>
  </si>
  <si>
    <t>Impacto</t>
  </si>
  <si>
    <t>Peso</t>
  </si>
  <si>
    <t># Preguntas</t>
  </si>
  <si>
    <t>Ptos. Posibles</t>
  </si>
  <si>
    <t>Ptos.</t>
  </si>
  <si>
    <t>Rating</t>
  </si>
  <si>
    <t>Porcentaje</t>
  </si>
  <si>
    <t>Puntuación Riesgos</t>
  </si>
  <si>
    <t>Ref.</t>
  </si>
  <si>
    <t>Categoría</t>
  </si>
  <si>
    <t>Riesgo</t>
  </si>
  <si>
    <t>Probabilidad</t>
  </si>
  <si>
    <t>Factor</t>
  </si>
  <si>
    <t>RK001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</si>
</sst>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2">
    <font>
      <sz val="11.0"/>
      <color theme="1"/>
      <name val="Calibri"/>
      <scheme val="minor"/>
    </font>
    <font>
      <sz val="11.0"/>
      <color theme="1"/>
      <name val="Calibri"/>
    </font>
    <font>
      <sz val="36.0"/>
      <color theme="1"/>
      <name val="Cambria"/>
    </font>
    <font>
      <sz val="20.0"/>
      <color theme="1"/>
      <name val="Cambria"/>
    </font>
    <font>
      <sz val="18.0"/>
      <color theme="1"/>
      <name val="Cambria"/>
    </font>
    <font>
      <sz val="11.0"/>
      <color rgb="FF000000"/>
      <name val="Calibri"/>
    </font>
    <font>
      <b/>
      <sz val="12.0"/>
      <color theme="0"/>
      <name val="Calibri"/>
    </font>
    <font/>
    <font>
      <b/>
      <sz val="11.0"/>
      <color rgb="FFFF0000"/>
      <name val="Calibri"/>
    </font>
    <font>
      <b/>
      <sz val="12.0"/>
      <color theme="1"/>
      <name val="Calibri"/>
    </font>
    <font>
      <b/>
      <sz val="12.0"/>
      <color rgb="FFFFFFFF"/>
      <name val="Calibri"/>
    </font>
    <font>
      <b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</fills>
  <borders count="2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top/>
      <bottom/>
    </border>
    <border>
      <top/>
      <bottom/>
    </border>
    <border>
      <right/>
      <top/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1" fillId="2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1" fillId="2" fontId="4" numFmtId="0" xfId="0" applyBorder="1" applyFont="1"/>
    <xf borderId="0" fillId="0" fontId="5" numFmtId="0" xfId="0" applyFont="1"/>
    <xf borderId="0" fillId="0" fontId="1" numFmtId="0" xfId="0" applyFont="1"/>
    <xf borderId="2" fillId="3" fontId="6" numFmtId="0" xfId="0" applyAlignment="1" applyBorder="1" applyFill="1" applyFont="1">
      <alignment horizontal="center"/>
    </xf>
    <xf borderId="3" fillId="0" fontId="7" numFmtId="0" xfId="0" applyBorder="1" applyFont="1"/>
    <xf borderId="4" fillId="3" fontId="6" numFmtId="0" xfId="0" applyAlignment="1" applyBorder="1" applyFont="1">
      <alignment horizontal="center"/>
    </xf>
    <xf borderId="5" fillId="3" fontId="6" numFmtId="0" xfId="0" applyAlignment="1" applyBorder="1" applyFont="1">
      <alignment horizontal="center"/>
    </xf>
    <xf borderId="6" fillId="3" fontId="6" numFmtId="0" xfId="0" applyAlignment="1" applyBorder="1" applyFont="1">
      <alignment horizontal="center"/>
    </xf>
    <xf borderId="2" fillId="0" fontId="1" numFmtId="0" xfId="0" applyBorder="1" applyFont="1"/>
    <xf borderId="4" fillId="0" fontId="1" numFmtId="0" xfId="0" applyBorder="1" applyFont="1"/>
    <xf borderId="3" fillId="0" fontId="1" numFmtId="0" xfId="0" applyBorder="1" applyFont="1"/>
    <xf borderId="4" fillId="0" fontId="8" numFmtId="0" xfId="0" applyAlignment="1" applyBorder="1" applyFont="1">
      <alignment horizontal="center"/>
    </xf>
    <xf borderId="2" fillId="0" fontId="1" numFmtId="0" xfId="0" applyAlignment="1" applyBorder="1" applyFont="1">
      <alignment horizontal="left"/>
    </xf>
    <xf borderId="7" fillId="0" fontId="1" numFmtId="0" xfId="0" applyAlignment="1" applyBorder="1" applyFont="1">
      <alignment horizontal="left"/>
    </xf>
    <xf borderId="8" fillId="0" fontId="7" numFmtId="0" xfId="0" applyBorder="1" applyFont="1"/>
    <xf borderId="9" fillId="0" fontId="1" numFmtId="0" xfId="0" applyBorder="1" applyFont="1"/>
    <xf borderId="7" fillId="0" fontId="1" numFmtId="0" xfId="0" applyBorder="1" applyFont="1"/>
    <xf borderId="8" fillId="0" fontId="1" numFmtId="0" xfId="0" applyBorder="1" applyFont="1"/>
    <xf borderId="9" fillId="0" fontId="8" numFmtId="0" xfId="0" applyAlignment="1" applyBorder="1" applyFont="1">
      <alignment horizontal="center"/>
    </xf>
    <xf borderId="10" fillId="3" fontId="6" numFmtId="0" xfId="0" applyBorder="1" applyFont="1"/>
    <xf borderId="11" fillId="3" fontId="9" numFmtId="0" xfId="0" applyBorder="1" applyFont="1"/>
    <xf borderId="1" fillId="3" fontId="9" numFmtId="0" xfId="0" applyBorder="1" applyFont="1"/>
    <xf borderId="11" fillId="3" fontId="6" numFmtId="0" xfId="0" applyBorder="1" applyFont="1"/>
    <xf borderId="12" fillId="3" fontId="6" numFmtId="0" xfId="0" applyBorder="1" applyFont="1"/>
    <xf borderId="11" fillId="2" fontId="1" numFmtId="0" xfId="0" applyBorder="1" applyFont="1"/>
    <xf borderId="13" fillId="2" fontId="9" numFmtId="0" xfId="0" applyBorder="1" applyFont="1"/>
    <xf borderId="1" fillId="2" fontId="9" numFmtId="0" xfId="0" applyBorder="1" applyFont="1"/>
    <xf borderId="14" fillId="2" fontId="9" numFmtId="0" xfId="0" applyBorder="1" applyFont="1"/>
    <xf borderId="13" fillId="3" fontId="6" numFmtId="0" xfId="0" applyBorder="1" applyFont="1"/>
    <xf borderId="14" fillId="3" fontId="6" numFmtId="0" xfId="0" applyBorder="1" applyFont="1"/>
    <xf borderId="15" fillId="2" fontId="9" numFmtId="0" xfId="0" applyAlignment="1" applyBorder="1" applyFont="1">
      <alignment horizontal="left"/>
    </xf>
    <xf borderId="16" fillId="0" fontId="7" numFmtId="0" xfId="0" applyBorder="1" applyFont="1"/>
    <xf borderId="17" fillId="0" fontId="7" numFmtId="0" xfId="0" applyBorder="1" applyFont="1"/>
    <xf borderId="14" fillId="2" fontId="9" numFmtId="164" xfId="0" applyBorder="1" applyFont="1" applyNumberFormat="1"/>
    <xf borderId="14" fillId="3" fontId="9" numFmtId="0" xfId="0" applyBorder="1" applyFont="1"/>
    <xf borderId="1" fillId="2" fontId="6" numFmtId="0" xfId="0" applyBorder="1" applyFont="1"/>
    <xf borderId="18" fillId="0" fontId="1" numFmtId="0" xfId="0" applyAlignment="1" applyBorder="1" applyFont="1">
      <alignment horizontal="left" vertical="top"/>
    </xf>
    <xf borderId="19" fillId="0" fontId="7" numFmtId="0" xfId="0" applyBorder="1" applyFont="1"/>
    <xf borderId="1" fillId="2" fontId="1" numFmtId="0" xfId="0" applyAlignment="1" applyBorder="1" applyFont="1">
      <alignment vertical="top"/>
    </xf>
    <xf borderId="18" fillId="0" fontId="7" numFmtId="0" xfId="0" applyBorder="1" applyFont="1"/>
    <xf borderId="20" fillId="0" fontId="7" numFmtId="0" xfId="0" applyBorder="1" applyFont="1"/>
    <xf borderId="21" fillId="0" fontId="7" numFmtId="0" xfId="0" applyBorder="1" applyFont="1"/>
    <xf borderId="22" fillId="0" fontId="7" numFmtId="0" xfId="0" applyBorder="1" applyFont="1"/>
    <xf borderId="2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14" fillId="3" fontId="10" numFmtId="0" xfId="0" applyAlignment="1" applyBorder="1" applyFont="1">
      <alignment readingOrder="0"/>
    </xf>
    <xf borderId="2" fillId="0" fontId="1" numFmtId="0" xfId="0" applyAlignment="1" applyBorder="1" applyFont="1">
      <alignment horizontal="left" readingOrder="0"/>
    </xf>
    <xf borderId="23" fillId="3" fontId="6" numFmtId="0" xfId="0" applyAlignment="1" applyBorder="1" applyFont="1">
      <alignment horizontal="center"/>
    </xf>
    <xf borderId="24" fillId="0" fontId="7" numFmtId="0" xfId="0" applyBorder="1" applyFont="1"/>
    <xf borderId="25" fillId="3" fontId="6" numFmtId="0" xfId="0" applyAlignment="1" applyBorder="1" applyFont="1">
      <alignment horizontal="center"/>
    </xf>
    <xf borderId="10" fillId="3" fontId="6" numFmtId="0" xfId="0" applyAlignment="1" applyBorder="1" applyFont="1">
      <alignment horizontal="center"/>
    </xf>
    <xf borderId="12" fillId="3" fontId="6" numFmtId="0" xfId="0" applyAlignment="1" applyBorder="1" applyFont="1">
      <alignment horizontal="center"/>
    </xf>
    <xf borderId="1" fillId="3" fontId="6" numFmtId="0" xfId="0" applyBorder="1" applyFont="1"/>
    <xf borderId="0" fillId="0" fontId="1" numFmtId="0" xfId="0" applyAlignment="1" applyFont="1">
      <alignment horizontal="left"/>
    </xf>
    <xf borderId="4" fillId="3" fontId="6" numFmtId="0" xfId="0" applyBorder="1" applyFont="1"/>
    <xf borderId="1" fillId="3" fontId="6" numFmtId="0" xfId="0" applyAlignment="1" applyBorder="1" applyFont="1">
      <alignment shrinkToFit="0" wrapText="1"/>
    </xf>
    <xf borderId="0" fillId="0" fontId="6" numFmtId="0" xfId="0" applyAlignment="1" applyFont="1">
      <alignment shrinkToFit="0" wrapText="1"/>
    </xf>
    <xf borderId="4" fillId="0" fontId="1" numFmtId="10" xfId="0" applyBorder="1" applyFont="1" applyNumberFormat="1"/>
    <xf borderId="4" fillId="0" fontId="1" numFmtId="2" xfId="0" applyBorder="1" applyFont="1" applyNumberFormat="1"/>
    <xf borderId="4" fillId="3" fontId="6" numFmtId="9" xfId="0" applyBorder="1" applyFont="1" applyNumberFormat="1"/>
    <xf borderId="5" fillId="3" fontId="6" numFmtId="0" xfId="0" applyBorder="1" applyFont="1"/>
    <xf borderId="6" fillId="3" fontId="6" numFmtId="0" xfId="0" applyBorder="1" applyFont="1"/>
    <xf borderId="4" fillId="3" fontId="6" numFmtId="2" xfId="0" applyBorder="1" applyFont="1" applyNumberFormat="1"/>
    <xf borderId="4" fillId="3" fontId="6" numFmtId="10" xfId="0" applyBorder="1" applyFont="1" applyNumberFormat="1"/>
    <xf borderId="0" fillId="0" fontId="1" numFmtId="10" xfId="0" applyFont="1" applyNumberFormat="1"/>
    <xf borderId="0" fillId="0" fontId="11" numFmtId="0" xfId="0" applyFont="1"/>
    <xf borderId="0" fillId="0" fontId="11" numFmtId="10" xfId="0" applyFont="1" applyNumberFormat="1"/>
    <xf borderId="4" fillId="3" fontId="6" numFmtId="9" xfId="0" applyAlignment="1" applyBorder="1" applyFont="1" applyNumberFormat="1">
      <alignment horizontal="center"/>
    </xf>
    <xf borderId="4" fillId="3" fontId="6" numFmtId="1" xfId="0" applyAlignment="1" applyBorder="1" applyFont="1" applyNumberFormat="1">
      <alignment horizontal="center"/>
    </xf>
    <xf borderId="4" fillId="0" fontId="1" numFmtId="9" xfId="0" applyBorder="1" applyFont="1" applyNumberFormat="1"/>
    <xf borderId="4" fillId="0" fontId="1" numFmtId="1" xfId="0" applyBorder="1" applyFont="1" applyNumberFormat="1"/>
    <xf borderId="4" fillId="0" fontId="1" numFmtId="9" xfId="0" applyAlignment="1" applyBorder="1" applyFont="1" applyNumberFormat="1">
      <alignment readingOrder="0"/>
    </xf>
    <xf borderId="0" fillId="0" fontId="1" numFmtId="9" xfId="0" applyFont="1" applyNumberFormat="1"/>
    <xf borderId="0" fillId="0" fontId="1" numFmtId="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Resumen de Riesgos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Resumen!$H$1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Resumen!$A$2:$A$11</c:f>
            </c:strRef>
          </c:cat>
          <c:val>
            <c:numRef>
              <c:f>Resumen!$H$2:$H$11</c:f>
              <c:numCache/>
            </c:numRef>
          </c:val>
          <c:smooth val="1"/>
        </c:ser>
        <c:axId val="673415661"/>
        <c:axId val="858615613"/>
      </c:radarChart>
      <c:catAx>
        <c:axId val="6734156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8615613"/>
      </c:catAx>
      <c:valAx>
        <c:axId val="8586156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3415661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45</xdr:row>
      <xdr:rowOff>38100</xdr:rowOff>
    </xdr:from>
    <xdr:ext cx="6134100" cy="838200"/>
    <xdr:sp>
      <xdr:nvSpPr>
        <xdr:cNvPr id="3" name="Shape 3"/>
        <xdr:cNvSpPr/>
      </xdr:nvSpPr>
      <xdr:spPr>
        <a:xfrm>
          <a:off x="2283713" y="3360900"/>
          <a:ext cx="6124575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0</xdr:rowOff>
    </xdr:from>
    <xdr:ext cx="6124575" cy="838200"/>
    <xdr:sp>
      <xdr:nvSpPr>
        <xdr:cNvPr id="4" name="Shape 4"/>
        <xdr:cNvSpPr/>
      </xdr:nvSpPr>
      <xdr:spPr>
        <a:xfrm>
          <a:off x="2288475" y="3360900"/>
          <a:ext cx="6115050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66675</xdr:colOff>
      <xdr:row>0</xdr:row>
      <xdr:rowOff>0</xdr:rowOff>
    </xdr:from>
    <xdr:ext cx="104775" cy="9886950"/>
    <xdr:sp>
      <xdr:nvSpPr>
        <xdr:cNvPr id="5" name="Shape 5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1085850</xdr:colOff>
      <xdr:row>0</xdr:row>
      <xdr:rowOff>0</xdr:rowOff>
    </xdr:from>
    <xdr:ext cx="104775" cy="9877425"/>
    <xdr:sp>
      <xdr:nvSpPr>
        <xdr:cNvPr id="6" name="Shape 6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6</xdr:col>
      <xdr:colOff>285750</xdr:colOff>
      <xdr:row>32</xdr:row>
      <xdr:rowOff>76200</xdr:rowOff>
    </xdr:from>
    <xdr:ext cx="1219200" cy="2105025"/>
    <xdr:pic>
      <xdr:nvPicPr>
        <xdr:cNvPr descr="UNPA.JPG"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523875</xdr:colOff>
      <xdr:row>33</xdr:row>
      <xdr:rowOff>200025</xdr:rowOff>
    </xdr:from>
    <xdr:ext cx="1447800" cy="1447800"/>
    <xdr:pic>
      <xdr:nvPicPr>
        <xdr:cNvPr id="0" name="image1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323850</xdr:colOff>
      <xdr:row>16</xdr:row>
      <xdr:rowOff>123825</xdr:rowOff>
    </xdr:from>
    <xdr:ext cx="5105400" cy="31813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10.71"/>
    <col customWidth="1" min="5" max="5" width="7.43"/>
    <col customWidth="1" min="6" max="7" width="11.43"/>
    <col customWidth="1" min="8" max="8" width="19.43"/>
    <col customWidth="1" min="9" max="26" width="10.71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1"/>
      <c r="C2" s="1"/>
      <c r="D2" s="1"/>
      <c r="E2" s="1"/>
      <c r="F2" s="1"/>
      <c r="G2" s="1"/>
      <c r="H2" s="1"/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>
      <c r="A5" s="1"/>
      <c r="B5" s="1"/>
      <c r="C5" s="1"/>
      <c r="D5" s="1"/>
      <c r="E5" s="1"/>
      <c r="F5" s="1"/>
      <c r="G5" s="1"/>
      <c r="H5" s="1"/>
    </row>
    <row r="6">
      <c r="A6" s="1"/>
      <c r="B6" s="1"/>
      <c r="C6" s="1"/>
      <c r="D6" s="1"/>
      <c r="E6" s="1"/>
      <c r="F6" s="1"/>
      <c r="G6" s="1"/>
      <c r="H6" s="1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2" t="s">
        <v>0</v>
      </c>
      <c r="C8" s="1"/>
      <c r="D8" s="1"/>
      <c r="E8" s="1"/>
      <c r="F8" s="1"/>
      <c r="G8" s="1"/>
      <c r="H8" s="1"/>
    </row>
    <row r="9">
      <c r="A9" s="1"/>
      <c r="B9" s="3" t="s">
        <v>1</v>
      </c>
      <c r="C9" s="1"/>
      <c r="D9" s="1"/>
      <c r="E9" s="1"/>
      <c r="F9" s="1"/>
      <c r="G9" s="1"/>
      <c r="H9" s="1"/>
    </row>
    <row r="10">
      <c r="A10" s="1"/>
      <c r="B10" s="3"/>
      <c r="C10" s="1"/>
      <c r="D10" s="1"/>
      <c r="E10" s="1"/>
      <c r="F10" s="1"/>
      <c r="G10" s="1"/>
      <c r="H10" s="1"/>
    </row>
    <row r="11">
      <c r="A11" s="1"/>
      <c r="B11" s="4" t="s">
        <v>2</v>
      </c>
      <c r="C11" s="1"/>
      <c r="D11" s="1"/>
      <c r="E11" s="1"/>
      <c r="F11" s="1"/>
      <c r="G11" s="1"/>
      <c r="H11" s="1"/>
    </row>
    <row r="12">
      <c r="A12" s="1"/>
      <c r="B12" s="5" t="s">
        <v>3</v>
      </c>
      <c r="C12" s="1"/>
      <c r="D12" s="1"/>
      <c r="E12" s="1"/>
      <c r="F12" s="1"/>
      <c r="G12" s="1"/>
      <c r="H12" s="1"/>
    </row>
    <row r="13">
      <c r="A13" s="1"/>
      <c r="B13" s="4" t="s">
        <v>4</v>
      </c>
      <c r="C13" s="1"/>
      <c r="D13" s="1"/>
      <c r="E13" s="1"/>
      <c r="F13" s="1"/>
      <c r="G13" s="1"/>
      <c r="H13" s="1"/>
    </row>
    <row r="14">
      <c r="A14" s="1"/>
      <c r="B14" s="6"/>
      <c r="C14" s="1"/>
      <c r="D14" s="1"/>
      <c r="E14" s="1"/>
      <c r="F14" s="1"/>
      <c r="G14" s="1"/>
      <c r="H14" s="1"/>
    </row>
    <row r="15">
      <c r="A15" s="1"/>
      <c r="B15" s="1"/>
      <c r="C15" s="1"/>
      <c r="D15" s="1"/>
      <c r="E15" s="1"/>
      <c r="F15" s="1"/>
      <c r="G15" s="1"/>
      <c r="H15" s="1"/>
    </row>
    <row r="16">
      <c r="A16" s="1"/>
      <c r="B16" s="1"/>
      <c r="C16" s="1"/>
      <c r="D16" s="1"/>
      <c r="E16" s="1"/>
      <c r="F16" s="1"/>
      <c r="G16" s="1"/>
      <c r="H16" s="1"/>
    </row>
    <row r="17">
      <c r="A17" s="1"/>
      <c r="B17" s="1"/>
      <c r="C17" s="1"/>
      <c r="D17" s="1"/>
      <c r="E17" s="1"/>
      <c r="F17" s="1"/>
      <c r="G17" s="1"/>
      <c r="H17" s="1"/>
    </row>
    <row r="18">
      <c r="A18" s="1"/>
      <c r="B18" s="1"/>
      <c r="C18" s="1"/>
      <c r="D18" s="1"/>
      <c r="E18" s="1"/>
      <c r="F18" s="1"/>
      <c r="G18" s="1"/>
      <c r="H18" s="1"/>
    </row>
    <row r="19">
      <c r="A19" s="1"/>
      <c r="B19" s="1"/>
      <c r="C19" s="1"/>
      <c r="D19" s="1"/>
      <c r="E19" s="1"/>
      <c r="F19" s="1"/>
      <c r="G19" s="1"/>
      <c r="H19" s="1"/>
      <c r="J19" s="7"/>
    </row>
    <row r="20">
      <c r="A20" s="1"/>
      <c r="B20" s="1"/>
      <c r="C20" s="1"/>
      <c r="D20" s="1"/>
      <c r="E20" s="1"/>
      <c r="F20" s="1"/>
      <c r="G20" s="1"/>
      <c r="H20" s="1"/>
    </row>
    <row r="21" ht="15.75" customHeight="1">
      <c r="A21" s="1"/>
      <c r="B21" s="1"/>
      <c r="C21" s="1"/>
      <c r="D21" s="1"/>
      <c r="E21" s="1"/>
      <c r="F21" s="1"/>
      <c r="G21" s="1"/>
      <c r="H21" s="1"/>
    </row>
    <row r="22" ht="15.75" customHeight="1">
      <c r="A22" s="1"/>
      <c r="B22" s="1"/>
      <c r="C22" s="1"/>
      <c r="D22" s="1"/>
      <c r="E22" s="1"/>
      <c r="F22" s="1"/>
      <c r="G22" s="1"/>
      <c r="H22" s="1"/>
    </row>
    <row r="23" ht="15.75" customHeight="1">
      <c r="A23" s="1"/>
      <c r="B23" s="1"/>
      <c r="C23" s="1"/>
      <c r="D23" s="1"/>
      <c r="E23" s="1"/>
      <c r="F23" s="1"/>
      <c r="G23" s="1"/>
      <c r="H23" s="1"/>
    </row>
    <row r="24" ht="15.75" customHeight="1">
      <c r="A24" s="1"/>
      <c r="B24" s="1"/>
      <c r="C24" s="1"/>
      <c r="D24" s="1"/>
      <c r="E24" s="1"/>
      <c r="F24" s="1"/>
      <c r="G24" s="1"/>
      <c r="H24" s="1"/>
    </row>
    <row r="25" ht="15.75" customHeight="1">
      <c r="A25" s="1"/>
      <c r="B25" s="1"/>
      <c r="C25" s="1"/>
      <c r="D25" s="1"/>
      <c r="E25" s="1"/>
      <c r="F25" s="1"/>
      <c r="G25" s="1"/>
      <c r="H25" s="1"/>
    </row>
    <row r="26" ht="15.75" customHeight="1">
      <c r="A26" s="1"/>
      <c r="B26" s="1"/>
      <c r="C26" s="1"/>
      <c r="D26" s="1"/>
      <c r="E26" s="1"/>
      <c r="F26" s="1"/>
      <c r="G26" s="1"/>
      <c r="H26" s="1"/>
    </row>
    <row r="27" ht="15.75" customHeight="1">
      <c r="A27" s="1"/>
      <c r="B27" s="1"/>
      <c r="C27" s="1"/>
      <c r="D27" s="1"/>
      <c r="E27" s="1"/>
      <c r="F27" s="1"/>
      <c r="G27" s="1"/>
      <c r="H27" s="1"/>
    </row>
    <row r="28" ht="15.75" customHeight="1">
      <c r="A28" s="1"/>
      <c r="B28" s="1"/>
      <c r="C28" s="1"/>
      <c r="D28" s="1"/>
      <c r="E28" s="1"/>
      <c r="F28" s="1"/>
      <c r="G28" s="1"/>
      <c r="H28" s="1"/>
    </row>
    <row r="29" ht="15.75" customHeight="1">
      <c r="A29" s="1"/>
      <c r="B29" s="1"/>
      <c r="C29" s="1"/>
      <c r="D29" s="1"/>
      <c r="E29" s="1"/>
      <c r="F29" s="1"/>
      <c r="G29" s="1"/>
      <c r="H29" s="1"/>
    </row>
    <row r="30" ht="15.75" customHeight="1">
      <c r="A30" s="1"/>
      <c r="B30" s="1"/>
      <c r="C30" s="1"/>
      <c r="D30" s="1"/>
      <c r="E30" s="1"/>
      <c r="F30" s="1"/>
      <c r="G30" s="1"/>
      <c r="H30" s="1"/>
    </row>
    <row r="31" ht="15.75" customHeight="1">
      <c r="A31" s="1"/>
      <c r="B31" s="1"/>
      <c r="C31" s="1"/>
      <c r="D31" s="1"/>
      <c r="E31" s="1"/>
      <c r="F31" s="1"/>
      <c r="G31" s="1"/>
      <c r="H31" s="1"/>
    </row>
    <row r="32" ht="15.75" customHeight="1">
      <c r="A32" s="1"/>
      <c r="B32" s="1"/>
      <c r="C32" s="1"/>
      <c r="D32" s="1"/>
      <c r="E32" s="1"/>
      <c r="F32" s="1"/>
      <c r="G32" s="1"/>
      <c r="H32" s="1"/>
    </row>
    <row r="33" ht="15.75" customHeight="1">
      <c r="A33" s="1"/>
      <c r="B33" s="1"/>
      <c r="C33" s="1"/>
      <c r="D33" s="1"/>
      <c r="E33" s="1"/>
      <c r="F33" s="1"/>
      <c r="G33" s="1"/>
      <c r="H33" s="1"/>
    </row>
    <row r="34" ht="15.75" customHeight="1">
      <c r="A34" s="1"/>
      <c r="B34" s="1"/>
      <c r="C34" s="1"/>
      <c r="D34" s="1"/>
      <c r="E34" s="1"/>
      <c r="F34" s="1"/>
      <c r="G34" s="1"/>
      <c r="H34" s="1"/>
    </row>
    <row r="35" ht="15.75" customHeight="1">
      <c r="A35" s="1"/>
      <c r="B35" s="1"/>
      <c r="C35" s="1"/>
      <c r="D35" s="1"/>
      <c r="E35" s="1"/>
      <c r="F35" s="1"/>
      <c r="G35" s="1"/>
      <c r="H35" s="1"/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8"/>
      <c r="B51" s="8"/>
      <c r="C51" s="8"/>
      <c r="D51" s="8"/>
      <c r="E51" s="8"/>
      <c r="F51" s="8"/>
      <c r="G51" s="8"/>
      <c r="H51" s="8"/>
    </row>
    <row r="52" ht="15.75" customHeight="1">
      <c r="A52" s="8"/>
      <c r="B52" s="8"/>
      <c r="C52" s="8"/>
      <c r="D52" s="8"/>
      <c r="E52" s="8"/>
      <c r="F52" s="8"/>
      <c r="G52" s="8"/>
      <c r="H52" s="8"/>
    </row>
    <row r="53" ht="15.75" customHeight="1">
      <c r="A53" s="8"/>
      <c r="B53" s="8"/>
      <c r="C53" s="8"/>
      <c r="D53" s="8"/>
      <c r="E53" s="8"/>
      <c r="F53" s="8"/>
      <c r="G53" s="8"/>
      <c r="H53" s="8"/>
    </row>
    <row r="54" ht="15.75" customHeight="1">
      <c r="A54" s="8"/>
      <c r="B54" s="8"/>
      <c r="C54" s="8"/>
      <c r="D54" s="8"/>
      <c r="E54" s="8"/>
      <c r="F54" s="8"/>
      <c r="G54" s="8"/>
      <c r="H54" s="8"/>
    </row>
    <row r="55" ht="15.75" customHeight="1">
      <c r="A55" s="8"/>
      <c r="B55" s="8"/>
      <c r="C55" s="8"/>
      <c r="D55" s="8"/>
      <c r="E55" s="8"/>
      <c r="F55" s="8"/>
      <c r="G55" s="8"/>
      <c r="H55" s="8"/>
    </row>
    <row r="56" ht="15.75" customHeight="1">
      <c r="A56" s="8"/>
      <c r="B56" s="8"/>
      <c r="C56" s="8"/>
      <c r="D56" s="8"/>
      <c r="E56" s="8"/>
      <c r="F56" s="8"/>
      <c r="G56" s="8"/>
      <c r="H56" s="8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23958333333333334" footer="0.0" header="0.0" left="0.25" right="0.14583333333333334" top="0.16666666666666666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76.71"/>
    <col customWidth="1" min="3" max="6" width="10.86"/>
    <col customWidth="1" min="7" max="7" width="7.86"/>
    <col customWidth="1" min="8" max="8" width="10.86"/>
    <col customWidth="1" min="9" max="26" width="10.71"/>
  </cols>
  <sheetData>
    <row r="1">
      <c r="A1" s="9" t="s">
        <v>5</v>
      </c>
      <c r="B1" s="10"/>
      <c r="C1" s="11">
        <v>0.0</v>
      </c>
      <c r="D1" s="12">
        <v>1.0</v>
      </c>
      <c r="E1" s="11">
        <v>2.0</v>
      </c>
      <c r="F1" s="13">
        <v>3.0</v>
      </c>
      <c r="G1" s="11" t="s">
        <v>6</v>
      </c>
      <c r="H1" s="11" t="s">
        <v>7</v>
      </c>
    </row>
    <row r="2">
      <c r="A2" s="14"/>
      <c r="B2" s="10"/>
      <c r="C2" s="15"/>
      <c r="D2" s="14"/>
      <c r="E2" s="15"/>
      <c r="F2" s="16"/>
      <c r="G2" s="15">
        <v>0.0</v>
      </c>
      <c r="H2" s="17" t="str">
        <f t="shared" ref="H2:H40" si="1">IF(G2&gt;=2,"SI","")</f>
        <v/>
      </c>
    </row>
    <row r="3">
      <c r="A3" s="14"/>
      <c r="B3" s="10"/>
      <c r="C3" s="15"/>
      <c r="D3" s="14"/>
      <c r="E3" s="15"/>
      <c r="F3" s="16"/>
      <c r="G3" s="15">
        <v>0.0</v>
      </c>
      <c r="H3" s="17" t="str">
        <f t="shared" si="1"/>
        <v/>
      </c>
    </row>
    <row r="4">
      <c r="A4" s="14"/>
      <c r="B4" s="10"/>
      <c r="C4" s="15"/>
      <c r="D4" s="14"/>
      <c r="E4" s="15"/>
      <c r="F4" s="16"/>
      <c r="G4" s="15">
        <v>0.0</v>
      </c>
      <c r="H4" s="17" t="str">
        <f t="shared" si="1"/>
        <v/>
      </c>
    </row>
    <row r="5">
      <c r="A5" s="14"/>
      <c r="B5" s="10"/>
      <c r="C5" s="15"/>
      <c r="D5" s="14"/>
      <c r="E5" s="15"/>
      <c r="F5" s="16"/>
      <c r="G5" s="15">
        <v>0.0</v>
      </c>
      <c r="H5" s="17" t="str">
        <f t="shared" si="1"/>
        <v/>
      </c>
    </row>
    <row r="6">
      <c r="A6" s="14"/>
      <c r="B6" s="10"/>
      <c r="C6" s="15"/>
      <c r="D6" s="14"/>
      <c r="E6" s="15"/>
      <c r="F6" s="16"/>
      <c r="G6" s="15">
        <v>0.0</v>
      </c>
      <c r="H6" s="17" t="str">
        <f t="shared" si="1"/>
        <v/>
      </c>
    </row>
    <row r="7">
      <c r="A7" s="14"/>
      <c r="B7" s="10"/>
      <c r="C7" s="15"/>
      <c r="D7" s="14"/>
      <c r="E7" s="15"/>
      <c r="F7" s="16"/>
      <c r="G7" s="15">
        <v>0.0</v>
      </c>
      <c r="H7" s="17" t="str">
        <f t="shared" si="1"/>
        <v/>
      </c>
    </row>
    <row r="8">
      <c r="A8" s="14"/>
      <c r="B8" s="10"/>
      <c r="C8" s="15"/>
      <c r="D8" s="14"/>
      <c r="E8" s="15"/>
      <c r="F8" s="16"/>
      <c r="G8" s="15">
        <v>0.0</v>
      </c>
      <c r="H8" s="17" t="str">
        <f t="shared" si="1"/>
        <v/>
      </c>
    </row>
    <row r="9">
      <c r="A9" s="14"/>
      <c r="B9" s="10"/>
      <c r="C9" s="15"/>
      <c r="D9" s="14"/>
      <c r="E9" s="15"/>
      <c r="F9" s="16"/>
      <c r="G9" s="15">
        <v>0.0</v>
      </c>
      <c r="H9" s="17" t="str">
        <f t="shared" si="1"/>
        <v/>
      </c>
    </row>
    <row r="10">
      <c r="A10" s="14"/>
      <c r="B10" s="10"/>
      <c r="C10" s="15"/>
      <c r="D10" s="14"/>
      <c r="E10" s="15"/>
      <c r="F10" s="16"/>
      <c r="G10" s="15">
        <v>0.0</v>
      </c>
      <c r="H10" s="17" t="str">
        <f t="shared" si="1"/>
        <v/>
      </c>
    </row>
    <row r="11">
      <c r="A11" s="14"/>
      <c r="B11" s="10"/>
      <c r="C11" s="15"/>
      <c r="D11" s="14"/>
      <c r="E11" s="15"/>
      <c r="F11" s="16"/>
      <c r="G11" s="15">
        <v>0.0</v>
      </c>
      <c r="H11" s="17" t="str">
        <f t="shared" si="1"/>
        <v/>
      </c>
    </row>
    <row r="12">
      <c r="A12" s="14"/>
      <c r="B12" s="10"/>
      <c r="C12" s="15"/>
      <c r="D12" s="14"/>
      <c r="E12" s="15"/>
      <c r="F12" s="16"/>
      <c r="G12" s="15">
        <v>0.0</v>
      </c>
      <c r="H12" s="17" t="str">
        <f t="shared" si="1"/>
        <v/>
      </c>
    </row>
    <row r="13">
      <c r="A13" s="14"/>
      <c r="B13" s="10"/>
      <c r="C13" s="15"/>
      <c r="D13" s="14"/>
      <c r="E13" s="15"/>
      <c r="F13" s="16"/>
      <c r="G13" s="15">
        <v>0.0</v>
      </c>
      <c r="H13" s="17" t="str">
        <f t="shared" si="1"/>
        <v/>
      </c>
    </row>
    <row r="14">
      <c r="A14" s="14"/>
      <c r="B14" s="10"/>
      <c r="C14" s="15"/>
      <c r="D14" s="14"/>
      <c r="E14" s="15"/>
      <c r="F14" s="16"/>
      <c r="G14" s="15">
        <v>0.0</v>
      </c>
      <c r="H14" s="17" t="str">
        <f t="shared" si="1"/>
        <v/>
      </c>
    </row>
    <row r="15">
      <c r="A15" s="14"/>
      <c r="B15" s="10"/>
      <c r="C15" s="15"/>
      <c r="D15" s="14"/>
      <c r="E15" s="15"/>
      <c r="F15" s="16"/>
      <c r="G15" s="15">
        <v>0.0</v>
      </c>
      <c r="H15" s="17" t="str">
        <f t="shared" si="1"/>
        <v/>
      </c>
    </row>
    <row r="16">
      <c r="A16" s="14"/>
      <c r="B16" s="10"/>
      <c r="C16" s="15"/>
      <c r="D16" s="14"/>
      <c r="E16" s="15"/>
      <c r="F16" s="16"/>
      <c r="G16" s="15"/>
      <c r="H16" s="17" t="str">
        <f t="shared" si="1"/>
        <v/>
      </c>
    </row>
    <row r="17">
      <c r="A17" s="14"/>
      <c r="B17" s="10"/>
      <c r="C17" s="15"/>
      <c r="D17" s="14"/>
      <c r="E17" s="15"/>
      <c r="F17" s="16"/>
      <c r="G17" s="15"/>
      <c r="H17" s="17" t="str">
        <f t="shared" si="1"/>
        <v/>
      </c>
    </row>
    <row r="18">
      <c r="A18" s="18"/>
      <c r="B18" s="10"/>
      <c r="C18" s="15"/>
      <c r="D18" s="14"/>
      <c r="E18" s="15"/>
      <c r="F18" s="16"/>
      <c r="G18" s="15"/>
      <c r="H18" s="17" t="str">
        <f t="shared" si="1"/>
        <v/>
      </c>
    </row>
    <row r="19">
      <c r="A19" s="18"/>
      <c r="B19" s="10"/>
      <c r="C19" s="15"/>
      <c r="D19" s="14"/>
      <c r="E19" s="15"/>
      <c r="F19" s="16"/>
      <c r="G19" s="15"/>
      <c r="H19" s="17" t="str">
        <f t="shared" si="1"/>
        <v/>
      </c>
    </row>
    <row r="20">
      <c r="A20" s="18"/>
      <c r="B20" s="10"/>
      <c r="C20" s="15"/>
      <c r="D20" s="14"/>
      <c r="E20" s="15"/>
      <c r="F20" s="16"/>
      <c r="G20" s="15"/>
      <c r="H20" s="17" t="str">
        <f t="shared" si="1"/>
        <v/>
      </c>
    </row>
    <row r="21" ht="15.75" customHeight="1">
      <c r="A21" s="18"/>
      <c r="B21" s="10"/>
      <c r="C21" s="15"/>
      <c r="D21" s="14"/>
      <c r="E21" s="15"/>
      <c r="F21" s="16"/>
      <c r="G21" s="15"/>
      <c r="H21" s="17" t="str">
        <f t="shared" si="1"/>
        <v/>
      </c>
    </row>
    <row r="22" ht="15.75" customHeight="1">
      <c r="A22" s="18"/>
      <c r="B22" s="10"/>
      <c r="C22" s="15"/>
      <c r="D22" s="14"/>
      <c r="E22" s="15"/>
      <c r="F22" s="16"/>
      <c r="G22" s="15"/>
      <c r="H22" s="17" t="str">
        <f t="shared" si="1"/>
        <v/>
      </c>
    </row>
    <row r="23" ht="15.75" customHeight="1">
      <c r="A23" s="18"/>
      <c r="B23" s="10"/>
      <c r="C23" s="15"/>
      <c r="D23" s="14"/>
      <c r="E23" s="15"/>
      <c r="F23" s="16"/>
      <c r="G23" s="15"/>
      <c r="H23" s="17" t="str">
        <f t="shared" si="1"/>
        <v/>
      </c>
    </row>
    <row r="24" ht="15.75" customHeight="1">
      <c r="A24" s="18"/>
      <c r="B24" s="10"/>
      <c r="C24" s="15"/>
      <c r="D24" s="14"/>
      <c r="E24" s="15"/>
      <c r="F24" s="16"/>
      <c r="G24" s="15"/>
      <c r="H24" s="17" t="str">
        <f t="shared" si="1"/>
        <v/>
      </c>
    </row>
    <row r="25" ht="15.75" customHeight="1">
      <c r="A25" s="18"/>
      <c r="B25" s="10"/>
      <c r="C25" s="15"/>
      <c r="D25" s="14"/>
      <c r="E25" s="15"/>
      <c r="F25" s="16"/>
      <c r="G25" s="15"/>
      <c r="H25" s="17" t="str">
        <f t="shared" si="1"/>
        <v/>
      </c>
    </row>
    <row r="26" ht="15.75" customHeight="1">
      <c r="A26" s="18"/>
      <c r="B26" s="10"/>
      <c r="C26" s="15"/>
      <c r="D26" s="14"/>
      <c r="E26" s="15"/>
      <c r="F26" s="16"/>
      <c r="G26" s="15"/>
      <c r="H26" s="17" t="str">
        <f t="shared" si="1"/>
        <v/>
      </c>
    </row>
    <row r="27" ht="15.75" customHeight="1">
      <c r="A27" s="18"/>
      <c r="B27" s="10"/>
      <c r="C27" s="15"/>
      <c r="D27" s="14"/>
      <c r="E27" s="15"/>
      <c r="F27" s="16"/>
      <c r="G27" s="15"/>
      <c r="H27" s="17" t="str">
        <f t="shared" si="1"/>
        <v/>
      </c>
    </row>
    <row r="28" ht="15.75" customHeight="1">
      <c r="A28" s="18"/>
      <c r="B28" s="10"/>
      <c r="C28" s="15"/>
      <c r="D28" s="14"/>
      <c r="E28" s="15"/>
      <c r="F28" s="16"/>
      <c r="G28" s="15"/>
      <c r="H28" s="17" t="str">
        <f t="shared" si="1"/>
        <v/>
      </c>
    </row>
    <row r="29" ht="15.75" customHeight="1">
      <c r="A29" s="18"/>
      <c r="B29" s="10"/>
      <c r="C29" s="15"/>
      <c r="D29" s="14"/>
      <c r="E29" s="15"/>
      <c r="F29" s="16"/>
      <c r="G29" s="15"/>
      <c r="H29" s="17" t="str">
        <f t="shared" si="1"/>
        <v/>
      </c>
    </row>
    <row r="30" ht="15.75" customHeight="1">
      <c r="A30" s="18"/>
      <c r="B30" s="10"/>
      <c r="C30" s="15"/>
      <c r="D30" s="14"/>
      <c r="E30" s="15"/>
      <c r="F30" s="16"/>
      <c r="G30" s="15"/>
      <c r="H30" s="17" t="str">
        <f t="shared" si="1"/>
        <v/>
      </c>
    </row>
    <row r="31" ht="15.75" customHeight="1">
      <c r="A31" s="18"/>
      <c r="B31" s="10"/>
      <c r="C31" s="15"/>
      <c r="D31" s="14"/>
      <c r="E31" s="15"/>
      <c r="F31" s="16"/>
      <c r="G31" s="15"/>
      <c r="H31" s="17" t="str">
        <f t="shared" si="1"/>
        <v/>
      </c>
    </row>
    <row r="32" ht="15.75" customHeight="1">
      <c r="A32" s="18"/>
      <c r="B32" s="10"/>
      <c r="C32" s="15"/>
      <c r="D32" s="14"/>
      <c r="E32" s="15"/>
      <c r="F32" s="16"/>
      <c r="G32" s="15"/>
      <c r="H32" s="17" t="str">
        <f t="shared" si="1"/>
        <v/>
      </c>
    </row>
    <row r="33" ht="15.75" customHeight="1">
      <c r="A33" s="18"/>
      <c r="B33" s="10"/>
      <c r="C33" s="15"/>
      <c r="D33" s="14"/>
      <c r="E33" s="15"/>
      <c r="F33" s="16"/>
      <c r="G33" s="15"/>
      <c r="H33" s="17" t="str">
        <f t="shared" si="1"/>
        <v/>
      </c>
    </row>
    <row r="34" ht="15.75" customHeight="1">
      <c r="A34" s="18"/>
      <c r="B34" s="10"/>
      <c r="C34" s="15"/>
      <c r="D34" s="14"/>
      <c r="E34" s="15"/>
      <c r="F34" s="16"/>
      <c r="G34" s="15"/>
      <c r="H34" s="17" t="str">
        <f t="shared" si="1"/>
        <v/>
      </c>
    </row>
    <row r="35" ht="15.75" customHeight="1">
      <c r="A35" s="18"/>
      <c r="B35" s="10"/>
      <c r="C35" s="15"/>
      <c r="D35" s="14"/>
      <c r="E35" s="15"/>
      <c r="F35" s="16"/>
      <c r="G35" s="15"/>
      <c r="H35" s="17" t="str">
        <f t="shared" si="1"/>
        <v/>
      </c>
    </row>
    <row r="36" ht="15.75" customHeight="1">
      <c r="A36" s="18"/>
      <c r="B36" s="10"/>
      <c r="C36" s="15"/>
      <c r="D36" s="14"/>
      <c r="E36" s="15"/>
      <c r="F36" s="16"/>
      <c r="G36" s="14"/>
      <c r="H36" s="17" t="str">
        <f t="shared" si="1"/>
        <v/>
      </c>
    </row>
    <row r="37" ht="15.75" customHeight="1">
      <c r="A37" s="18"/>
      <c r="B37" s="10"/>
      <c r="C37" s="15"/>
      <c r="D37" s="14"/>
      <c r="E37" s="15"/>
      <c r="F37" s="16"/>
      <c r="G37" s="14"/>
      <c r="H37" s="17" t="str">
        <f t="shared" si="1"/>
        <v/>
      </c>
    </row>
    <row r="38" ht="15.75" customHeight="1">
      <c r="A38" s="18"/>
      <c r="B38" s="10"/>
      <c r="C38" s="15"/>
      <c r="D38" s="14"/>
      <c r="E38" s="15"/>
      <c r="F38" s="16"/>
      <c r="G38" s="14"/>
      <c r="H38" s="17" t="str">
        <f t="shared" si="1"/>
        <v/>
      </c>
    </row>
    <row r="39" ht="15.75" customHeight="1">
      <c r="A39" s="18"/>
      <c r="B39" s="10"/>
      <c r="C39" s="15"/>
      <c r="D39" s="14"/>
      <c r="E39" s="15"/>
      <c r="F39" s="16"/>
      <c r="G39" s="14"/>
      <c r="H39" s="17" t="str">
        <f t="shared" si="1"/>
        <v/>
      </c>
    </row>
    <row r="40" ht="15.75" customHeight="1">
      <c r="A40" s="19"/>
      <c r="B40" s="20"/>
      <c r="C40" s="21"/>
      <c r="D40" s="22"/>
      <c r="E40" s="15"/>
      <c r="F40" s="23"/>
      <c r="G40" s="22"/>
      <c r="H40" s="24" t="str">
        <f t="shared" si="1"/>
        <v/>
      </c>
    </row>
    <row r="41" ht="15.75" customHeight="1">
      <c r="A41" s="25" t="s">
        <v>8</v>
      </c>
      <c r="B41" s="26"/>
      <c r="C41" s="26"/>
      <c r="D41" s="26"/>
      <c r="E41" s="27"/>
      <c r="F41" s="28">
        <f>COUNTA(A2:B40)</f>
        <v>0</v>
      </c>
      <c r="G41" s="29">
        <f>SUM(G2:G40)</f>
        <v>0</v>
      </c>
      <c r="H41" s="30"/>
    </row>
    <row r="42" ht="15.75" customHeight="1">
      <c r="A42" s="31" t="s">
        <v>9</v>
      </c>
      <c r="B42" s="32"/>
      <c r="C42" s="32"/>
      <c r="D42" s="32"/>
      <c r="E42" s="32"/>
      <c r="F42" s="32"/>
      <c r="G42" s="33">
        <f>3*F41</f>
        <v>0</v>
      </c>
      <c r="H42" s="1"/>
    </row>
    <row r="43" ht="15.75" customHeight="1">
      <c r="A43" s="34" t="s">
        <v>10</v>
      </c>
      <c r="B43" s="27"/>
      <c r="C43" s="27"/>
      <c r="D43" s="27"/>
      <c r="E43" s="27"/>
      <c r="F43" s="27"/>
      <c r="G43" s="35">
        <v>5.0</v>
      </c>
      <c r="H43" s="1"/>
    </row>
    <row r="44" ht="15.75" customHeight="1">
      <c r="A44" s="36" t="s">
        <v>11</v>
      </c>
      <c r="B44" s="37"/>
      <c r="C44" s="37"/>
      <c r="D44" s="37"/>
      <c r="E44" s="37"/>
      <c r="F44" s="38"/>
      <c r="G44" s="39" t="str">
        <f>G41/G42*G43</f>
        <v>#DIV/0!</v>
      </c>
      <c r="H44" s="1"/>
    </row>
    <row r="45" ht="15.75" customHeight="1">
      <c r="A45" s="34" t="s">
        <v>12</v>
      </c>
      <c r="B45" s="27"/>
      <c r="C45" s="27"/>
      <c r="D45" s="27"/>
      <c r="E45" s="27"/>
      <c r="F45" s="27"/>
      <c r="G45" s="40"/>
      <c r="H45" s="41"/>
    </row>
    <row r="46" ht="15.75" customHeight="1">
      <c r="A46" s="42"/>
      <c r="G46" s="43"/>
      <c r="H46" s="44"/>
    </row>
    <row r="47" ht="15.75" customHeight="1">
      <c r="A47" s="45"/>
      <c r="G47" s="43"/>
      <c r="H47" s="44"/>
    </row>
    <row r="48" ht="15.75" customHeight="1">
      <c r="A48" s="46"/>
      <c r="B48" s="47"/>
      <c r="C48" s="47"/>
      <c r="D48" s="47"/>
      <c r="E48" s="47"/>
      <c r="F48" s="47"/>
      <c r="G48" s="48"/>
      <c r="H48" s="44"/>
    </row>
    <row r="49" ht="15.75" customHeight="1">
      <c r="A49" s="9" t="s">
        <v>13</v>
      </c>
      <c r="B49" s="10"/>
      <c r="C49" s="11">
        <v>0.0</v>
      </c>
      <c r="D49" s="12">
        <v>1.0</v>
      </c>
      <c r="E49" s="11">
        <v>2.0</v>
      </c>
      <c r="F49" s="13">
        <v>3.0</v>
      </c>
      <c r="G49" s="11" t="s">
        <v>6</v>
      </c>
      <c r="H49" s="11" t="s">
        <v>7</v>
      </c>
    </row>
    <row r="50" ht="15.75" customHeight="1">
      <c r="A50" s="18"/>
      <c r="B50" s="10"/>
      <c r="C50" s="15"/>
      <c r="D50" s="14"/>
      <c r="E50" s="15"/>
      <c r="F50" s="16"/>
      <c r="G50" s="15">
        <v>0.0</v>
      </c>
      <c r="H50" s="17" t="str">
        <f t="shared" ref="H50:H88" si="2">IF(G50&gt;=2,"SI","")</f>
        <v/>
      </c>
    </row>
    <row r="51" ht="15.75" customHeight="1">
      <c r="A51" s="18"/>
      <c r="B51" s="10"/>
      <c r="C51" s="15"/>
      <c r="D51" s="14"/>
      <c r="E51" s="15"/>
      <c r="F51" s="16"/>
      <c r="G51" s="15">
        <v>0.0</v>
      </c>
      <c r="H51" s="17" t="str">
        <f t="shared" si="2"/>
        <v/>
      </c>
    </row>
    <row r="52" ht="15.75" customHeight="1">
      <c r="A52" s="18"/>
      <c r="B52" s="10"/>
      <c r="C52" s="15"/>
      <c r="D52" s="14"/>
      <c r="E52" s="15"/>
      <c r="F52" s="16"/>
      <c r="G52" s="15">
        <v>0.0</v>
      </c>
      <c r="H52" s="17" t="str">
        <f t="shared" si="2"/>
        <v/>
      </c>
    </row>
    <row r="53" ht="15.75" customHeight="1">
      <c r="A53" s="18"/>
      <c r="B53" s="10"/>
      <c r="C53" s="15"/>
      <c r="D53" s="14"/>
      <c r="E53" s="15"/>
      <c r="F53" s="16"/>
      <c r="G53" s="15">
        <v>0.0</v>
      </c>
      <c r="H53" s="17" t="str">
        <f t="shared" si="2"/>
        <v/>
      </c>
    </row>
    <row r="54" ht="15.75" customHeight="1">
      <c r="A54" s="18"/>
      <c r="B54" s="10"/>
      <c r="C54" s="15"/>
      <c r="D54" s="14"/>
      <c r="E54" s="15"/>
      <c r="F54" s="16"/>
      <c r="G54" s="15">
        <v>0.0</v>
      </c>
      <c r="H54" s="17" t="str">
        <f t="shared" si="2"/>
        <v/>
      </c>
    </row>
    <row r="55" ht="15.75" customHeight="1">
      <c r="A55" s="18"/>
      <c r="B55" s="10"/>
      <c r="C55" s="15"/>
      <c r="D55" s="14"/>
      <c r="E55" s="15"/>
      <c r="F55" s="16"/>
      <c r="G55" s="15">
        <v>0.0</v>
      </c>
      <c r="H55" s="17" t="str">
        <f t="shared" si="2"/>
        <v/>
      </c>
    </row>
    <row r="56" ht="15.75" customHeight="1">
      <c r="A56" s="18"/>
      <c r="B56" s="10"/>
      <c r="C56" s="15"/>
      <c r="D56" s="14"/>
      <c r="E56" s="15"/>
      <c r="F56" s="16"/>
      <c r="G56" s="15">
        <v>0.0</v>
      </c>
      <c r="H56" s="17" t="str">
        <f t="shared" si="2"/>
        <v/>
      </c>
    </row>
    <row r="57" ht="15.75" customHeight="1">
      <c r="A57" s="18"/>
      <c r="B57" s="10"/>
      <c r="C57" s="15"/>
      <c r="D57" s="14"/>
      <c r="E57" s="15"/>
      <c r="F57" s="16"/>
      <c r="G57" s="15">
        <v>0.0</v>
      </c>
      <c r="H57" s="17" t="str">
        <f t="shared" si="2"/>
        <v/>
      </c>
    </row>
    <row r="58" ht="15.75" customHeight="1">
      <c r="A58" s="18"/>
      <c r="B58" s="10"/>
      <c r="C58" s="15"/>
      <c r="D58" s="14"/>
      <c r="E58" s="15"/>
      <c r="F58" s="16"/>
      <c r="G58" s="15">
        <v>0.0</v>
      </c>
      <c r="H58" s="17" t="str">
        <f t="shared" si="2"/>
        <v/>
      </c>
    </row>
    <row r="59" ht="15.75" customHeight="1">
      <c r="A59" s="18"/>
      <c r="B59" s="10"/>
      <c r="C59" s="15"/>
      <c r="D59" s="14"/>
      <c r="E59" s="15"/>
      <c r="F59" s="16"/>
      <c r="G59" s="15">
        <v>0.0</v>
      </c>
      <c r="H59" s="17" t="str">
        <f t="shared" si="2"/>
        <v/>
      </c>
    </row>
    <row r="60" ht="15.75" customHeight="1">
      <c r="A60" s="18"/>
      <c r="B60" s="10"/>
      <c r="C60" s="15"/>
      <c r="D60" s="14"/>
      <c r="E60" s="15"/>
      <c r="F60" s="16"/>
      <c r="G60" s="15">
        <v>0.0</v>
      </c>
      <c r="H60" s="17" t="str">
        <f t="shared" si="2"/>
        <v/>
      </c>
    </row>
    <row r="61" ht="15.75" customHeight="1">
      <c r="A61" s="18"/>
      <c r="B61" s="10"/>
      <c r="C61" s="15"/>
      <c r="D61" s="14"/>
      <c r="E61" s="15"/>
      <c r="F61" s="16"/>
      <c r="G61" s="15">
        <v>0.0</v>
      </c>
      <c r="H61" s="17" t="str">
        <f t="shared" si="2"/>
        <v/>
      </c>
    </row>
    <row r="62" ht="15.75" customHeight="1">
      <c r="A62" s="18"/>
      <c r="B62" s="10"/>
      <c r="C62" s="15"/>
      <c r="D62" s="14"/>
      <c r="E62" s="15"/>
      <c r="F62" s="16"/>
      <c r="G62" s="15"/>
      <c r="H62" s="17" t="str">
        <f t="shared" si="2"/>
        <v/>
      </c>
    </row>
    <row r="63" ht="15.75" customHeight="1">
      <c r="A63" s="18"/>
      <c r="B63" s="10"/>
      <c r="C63" s="15"/>
      <c r="D63" s="14"/>
      <c r="E63" s="15"/>
      <c r="F63" s="16"/>
      <c r="G63" s="15"/>
      <c r="H63" s="17" t="str">
        <f t="shared" si="2"/>
        <v/>
      </c>
    </row>
    <row r="64" ht="15.75" customHeight="1">
      <c r="A64" s="18"/>
      <c r="B64" s="10"/>
      <c r="C64" s="15"/>
      <c r="D64" s="14"/>
      <c r="E64" s="15"/>
      <c r="F64" s="16"/>
      <c r="G64" s="15"/>
      <c r="H64" s="17" t="str">
        <f t="shared" si="2"/>
        <v/>
      </c>
    </row>
    <row r="65" ht="15.75" customHeight="1">
      <c r="A65" s="18"/>
      <c r="B65" s="10"/>
      <c r="C65" s="15"/>
      <c r="D65" s="14"/>
      <c r="E65" s="15"/>
      <c r="F65" s="16"/>
      <c r="G65" s="15"/>
      <c r="H65" s="17" t="str">
        <f t="shared" si="2"/>
        <v/>
      </c>
    </row>
    <row r="66" ht="15.75" customHeight="1">
      <c r="A66" s="18"/>
      <c r="B66" s="10"/>
      <c r="C66" s="15"/>
      <c r="D66" s="14"/>
      <c r="E66" s="15"/>
      <c r="F66" s="16"/>
      <c r="G66" s="15"/>
      <c r="H66" s="17" t="str">
        <f t="shared" si="2"/>
        <v/>
      </c>
    </row>
    <row r="67" ht="15.75" customHeight="1">
      <c r="A67" s="18"/>
      <c r="B67" s="10"/>
      <c r="C67" s="15"/>
      <c r="D67" s="14"/>
      <c r="E67" s="15"/>
      <c r="F67" s="16"/>
      <c r="G67" s="15"/>
      <c r="H67" s="17" t="str">
        <f t="shared" si="2"/>
        <v/>
      </c>
    </row>
    <row r="68" ht="15.75" customHeight="1">
      <c r="A68" s="18"/>
      <c r="B68" s="10"/>
      <c r="C68" s="15"/>
      <c r="D68" s="14"/>
      <c r="E68" s="15"/>
      <c r="F68" s="16"/>
      <c r="G68" s="15"/>
      <c r="H68" s="17" t="str">
        <f t="shared" si="2"/>
        <v/>
      </c>
    </row>
    <row r="69" ht="15.75" customHeight="1">
      <c r="A69" s="18"/>
      <c r="B69" s="10"/>
      <c r="C69" s="15"/>
      <c r="D69" s="14"/>
      <c r="E69" s="15"/>
      <c r="F69" s="16"/>
      <c r="G69" s="15"/>
      <c r="H69" s="17" t="str">
        <f t="shared" si="2"/>
        <v/>
      </c>
    </row>
    <row r="70" ht="15.75" customHeight="1">
      <c r="A70" s="18"/>
      <c r="B70" s="10"/>
      <c r="C70" s="15"/>
      <c r="D70" s="14"/>
      <c r="E70" s="15"/>
      <c r="F70" s="16"/>
      <c r="G70" s="15"/>
      <c r="H70" s="17" t="str">
        <f t="shared" si="2"/>
        <v/>
      </c>
    </row>
    <row r="71" ht="15.75" customHeight="1">
      <c r="A71" s="18"/>
      <c r="B71" s="10"/>
      <c r="C71" s="15"/>
      <c r="D71" s="14"/>
      <c r="E71" s="15"/>
      <c r="F71" s="16"/>
      <c r="G71" s="15"/>
      <c r="H71" s="17" t="str">
        <f t="shared" si="2"/>
        <v/>
      </c>
    </row>
    <row r="72" ht="15.75" customHeight="1">
      <c r="A72" s="18"/>
      <c r="B72" s="10"/>
      <c r="C72" s="15"/>
      <c r="D72" s="14"/>
      <c r="E72" s="15"/>
      <c r="F72" s="16"/>
      <c r="G72" s="15"/>
      <c r="H72" s="17" t="str">
        <f t="shared" si="2"/>
        <v/>
      </c>
    </row>
    <row r="73" ht="15.75" customHeight="1">
      <c r="A73" s="18"/>
      <c r="B73" s="10"/>
      <c r="C73" s="15"/>
      <c r="D73" s="14"/>
      <c r="E73" s="15"/>
      <c r="F73" s="16"/>
      <c r="G73" s="15"/>
      <c r="H73" s="17" t="str">
        <f t="shared" si="2"/>
        <v/>
      </c>
    </row>
    <row r="74" ht="15.75" customHeight="1">
      <c r="A74" s="18"/>
      <c r="B74" s="10"/>
      <c r="C74" s="15"/>
      <c r="D74" s="14"/>
      <c r="E74" s="15"/>
      <c r="F74" s="16"/>
      <c r="G74" s="15"/>
      <c r="H74" s="17" t="str">
        <f t="shared" si="2"/>
        <v/>
      </c>
    </row>
    <row r="75" ht="15.75" customHeight="1">
      <c r="A75" s="18"/>
      <c r="B75" s="10"/>
      <c r="C75" s="15"/>
      <c r="D75" s="14"/>
      <c r="E75" s="15"/>
      <c r="F75" s="16"/>
      <c r="G75" s="15"/>
      <c r="H75" s="17" t="str">
        <f t="shared" si="2"/>
        <v/>
      </c>
    </row>
    <row r="76" ht="15.75" customHeight="1">
      <c r="A76" s="18"/>
      <c r="B76" s="10"/>
      <c r="C76" s="15"/>
      <c r="D76" s="14"/>
      <c r="E76" s="15"/>
      <c r="F76" s="16"/>
      <c r="G76" s="15"/>
      <c r="H76" s="17" t="str">
        <f t="shared" si="2"/>
        <v/>
      </c>
    </row>
    <row r="77" ht="15.75" customHeight="1">
      <c r="A77" s="18"/>
      <c r="B77" s="10"/>
      <c r="C77" s="15"/>
      <c r="D77" s="14"/>
      <c r="E77" s="15"/>
      <c r="F77" s="16"/>
      <c r="G77" s="15"/>
      <c r="H77" s="17" t="str">
        <f t="shared" si="2"/>
        <v/>
      </c>
    </row>
    <row r="78" ht="15.75" customHeight="1">
      <c r="A78" s="18"/>
      <c r="B78" s="10"/>
      <c r="C78" s="15"/>
      <c r="D78" s="14"/>
      <c r="E78" s="15"/>
      <c r="F78" s="16"/>
      <c r="G78" s="15"/>
      <c r="H78" s="17" t="str">
        <f t="shared" si="2"/>
        <v/>
      </c>
    </row>
    <row r="79" ht="15.75" customHeight="1">
      <c r="A79" s="18"/>
      <c r="B79" s="10"/>
      <c r="C79" s="15"/>
      <c r="D79" s="14"/>
      <c r="E79" s="15"/>
      <c r="F79" s="16"/>
      <c r="G79" s="15"/>
      <c r="H79" s="17" t="str">
        <f t="shared" si="2"/>
        <v/>
      </c>
    </row>
    <row r="80" ht="15.75" customHeight="1">
      <c r="A80" s="18"/>
      <c r="B80" s="10"/>
      <c r="C80" s="15"/>
      <c r="D80" s="14"/>
      <c r="E80" s="15"/>
      <c r="F80" s="16"/>
      <c r="G80" s="15"/>
      <c r="H80" s="17" t="str">
        <f t="shared" si="2"/>
        <v/>
      </c>
    </row>
    <row r="81" ht="15.75" customHeight="1">
      <c r="A81" s="18"/>
      <c r="B81" s="10"/>
      <c r="C81" s="15"/>
      <c r="D81" s="14"/>
      <c r="E81" s="15"/>
      <c r="F81" s="16"/>
      <c r="G81" s="15"/>
      <c r="H81" s="17" t="str">
        <f t="shared" si="2"/>
        <v/>
      </c>
    </row>
    <row r="82" ht="15.75" customHeight="1">
      <c r="A82" s="18"/>
      <c r="B82" s="10"/>
      <c r="C82" s="15"/>
      <c r="D82" s="14"/>
      <c r="E82" s="15"/>
      <c r="F82" s="16"/>
      <c r="G82" s="15"/>
      <c r="H82" s="17" t="str">
        <f t="shared" si="2"/>
        <v/>
      </c>
    </row>
    <row r="83" ht="15.75" customHeight="1">
      <c r="A83" s="18"/>
      <c r="B83" s="10"/>
      <c r="C83" s="15"/>
      <c r="D83" s="14"/>
      <c r="E83" s="15"/>
      <c r="F83" s="16"/>
      <c r="G83" s="15"/>
      <c r="H83" s="17" t="str">
        <f t="shared" si="2"/>
        <v/>
      </c>
    </row>
    <row r="84" ht="15.75" customHeight="1">
      <c r="A84" s="18"/>
      <c r="B84" s="10"/>
      <c r="C84" s="15"/>
      <c r="D84" s="14"/>
      <c r="E84" s="15"/>
      <c r="F84" s="16"/>
      <c r="G84" s="15"/>
      <c r="H84" s="17" t="str">
        <f t="shared" si="2"/>
        <v/>
      </c>
    </row>
    <row r="85" ht="15.75" customHeight="1">
      <c r="A85" s="18"/>
      <c r="B85" s="10"/>
      <c r="C85" s="15"/>
      <c r="D85" s="14"/>
      <c r="E85" s="15"/>
      <c r="F85" s="16"/>
      <c r="G85" s="15"/>
      <c r="H85" s="17" t="str">
        <f t="shared" si="2"/>
        <v/>
      </c>
    </row>
    <row r="86" ht="15.75" customHeight="1">
      <c r="A86" s="18"/>
      <c r="B86" s="10"/>
      <c r="C86" s="15"/>
      <c r="D86" s="14"/>
      <c r="E86" s="15"/>
      <c r="F86" s="16"/>
      <c r="G86" s="15"/>
      <c r="H86" s="17" t="str">
        <f t="shared" si="2"/>
        <v/>
      </c>
    </row>
    <row r="87" ht="15.75" customHeight="1">
      <c r="A87" s="18"/>
      <c r="B87" s="10"/>
      <c r="C87" s="15"/>
      <c r="D87" s="14"/>
      <c r="E87" s="15"/>
      <c r="F87" s="16"/>
      <c r="G87" s="15"/>
      <c r="H87" s="17" t="str">
        <f t="shared" si="2"/>
        <v/>
      </c>
    </row>
    <row r="88" ht="15.75" customHeight="1">
      <c r="A88" s="18"/>
      <c r="B88" s="10"/>
      <c r="C88" s="15"/>
      <c r="D88" s="14"/>
      <c r="E88" s="15"/>
      <c r="F88" s="16"/>
      <c r="G88" s="15"/>
      <c r="H88" s="17" t="str">
        <f t="shared" si="2"/>
        <v/>
      </c>
    </row>
    <row r="89" ht="15.75" customHeight="1">
      <c r="A89" s="25" t="s">
        <v>8</v>
      </c>
      <c r="B89" s="26"/>
      <c r="C89" s="26"/>
      <c r="D89" s="26"/>
      <c r="E89" s="27"/>
      <c r="F89" s="28">
        <f>COUNTA(A50:B88)</f>
        <v>0</v>
      </c>
      <c r="G89" s="29">
        <f>SUM(G50:G88)</f>
        <v>0</v>
      </c>
      <c r="H89" s="30"/>
    </row>
    <row r="90" ht="15.75" customHeight="1">
      <c r="A90" s="31" t="s">
        <v>9</v>
      </c>
      <c r="B90" s="32"/>
      <c r="C90" s="32"/>
      <c r="D90" s="32"/>
      <c r="E90" s="32"/>
      <c r="F90" s="32"/>
      <c r="G90" s="33">
        <f>3*F89</f>
        <v>0</v>
      </c>
      <c r="H90" s="1"/>
    </row>
    <row r="91" ht="15.75" customHeight="1">
      <c r="A91" s="34" t="s">
        <v>10</v>
      </c>
      <c r="B91" s="27"/>
      <c r="C91" s="27"/>
      <c r="D91" s="27"/>
      <c r="E91" s="27"/>
      <c r="F91" s="27"/>
      <c r="G91" s="35">
        <v>5.0</v>
      </c>
      <c r="H91" s="1"/>
    </row>
    <row r="92" ht="15.75" customHeight="1">
      <c r="A92" s="36" t="s">
        <v>11</v>
      </c>
      <c r="B92" s="37"/>
      <c r="C92" s="37"/>
      <c r="D92" s="37"/>
      <c r="E92" s="37"/>
      <c r="F92" s="38"/>
      <c r="G92" s="39" t="str">
        <f>G89/G90*G91</f>
        <v>#DIV/0!</v>
      </c>
      <c r="H92" s="1"/>
    </row>
    <row r="93" ht="15.75" customHeight="1">
      <c r="A93" s="34" t="s">
        <v>12</v>
      </c>
      <c r="B93" s="27"/>
      <c r="C93" s="27"/>
      <c r="D93" s="27"/>
      <c r="E93" s="27"/>
      <c r="F93" s="27"/>
      <c r="G93" s="40"/>
      <c r="H93" s="41"/>
    </row>
    <row r="94" ht="15.75" customHeight="1">
      <c r="A94" s="42"/>
      <c r="G94" s="43"/>
      <c r="H94" s="44"/>
    </row>
    <row r="95" ht="15.75" customHeight="1">
      <c r="A95" s="45"/>
      <c r="G95" s="43"/>
      <c r="H95" s="44"/>
    </row>
    <row r="96" ht="15.75" customHeight="1">
      <c r="A96" s="46"/>
      <c r="B96" s="47"/>
      <c r="C96" s="47"/>
      <c r="D96" s="47"/>
      <c r="E96" s="47"/>
      <c r="F96" s="47"/>
      <c r="G96" s="48"/>
      <c r="H96" s="44"/>
    </row>
    <row r="97" ht="15.75" customHeight="1">
      <c r="A97" s="9" t="s">
        <v>14</v>
      </c>
      <c r="B97" s="10"/>
      <c r="C97" s="11">
        <v>0.0</v>
      </c>
      <c r="D97" s="12">
        <v>1.0</v>
      </c>
      <c r="E97" s="11">
        <v>2.0</v>
      </c>
      <c r="F97" s="13">
        <v>3.0</v>
      </c>
      <c r="G97" s="11" t="s">
        <v>6</v>
      </c>
      <c r="H97" s="11" t="s">
        <v>7</v>
      </c>
    </row>
    <row r="98" ht="15.75" customHeight="1">
      <c r="A98" s="49" t="s">
        <v>15</v>
      </c>
      <c r="B98" s="10"/>
      <c r="C98" s="15"/>
      <c r="D98" s="14"/>
      <c r="E98" s="15"/>
      <c r="F98" s="16"/>
      <c r="G98" s="15">
        <v>3.0</v>
      </c>
      <c r="H98" s="17" t="str">
        <f t="shared" ref="H98:H136" si="3">IF(G98&gt;=2,"SI","")</f>
        <v>SI</v>
      </c>
    </row>
    <row r="99" ht="15.75" customHeight="1">
      <c r="A99" s="49" t="s">
        <v>16</v>
      </c>
      <c r="B99" s="10"/>
      <c r="C99" s="15"/>
      <c r="D99" s="14"/>
      <c r="E99" s="15"/>
      <c r="F99" s="16"/>
      <c r="G99" s="50">
        <v>1.0</v>
      </c>
      <c r="H99" s="17" t="str">
        <f t="shared" si="3"/>
        <v/>
      </c>
    </row>
    <row r="100" ht="15.75" customHeight="1">
      <c r="A100" s="49" t="s">
        <v>17</v>
      </c>
      <c r="B100" s="10"/>
      <c r="C100" s="15"/>
      <c r="D100" s="14"/>
      <c r="E100" s="15"/>
      <c r="F100" s="16"/>
      <c r="G100" s="50">
        <v>1.0</v>
      </c>
      <c r="H100" s="17" t="str">
        <f t="shared" si="3"/>
        <v/>
      </c>
    </row>
    <row r="101" ht="15.75" customHeight="1">
      <c r="A101" s="49" t="s">
        <v>18</v>
      </c>
      <c r="B101" s="10"/>
      <c r="C101" s="15"/>
      <c r="D101" s="14"/>
      <c r="E101" s="15"/>
      <c r="F101" s="16"/>
      <c r="G101" s="15">
        <v>1.0</v>
      </c>
      <c r="H101" s="17" t="str">
        <f t="shared" si="3"/>
        <v/>
      </c>
    </row>
    <row r="102" ht="15.75" customHeight="1">
      <c r="A102" s="49" t="s">
        <v>19</v>
      </c>
      <c r="B102" s="10"/>
      <c r="C102" s="15"/>
      <c r="D102" s="14"/>
      <c r="E102" s="15"/>
      <c r="F102" s="16"/>
      <c r="G102" s="50">
        <v>1.0</v>
      </c>
      <c r="H102" s="17" t="str">
        <f t="shared" si="3"/>
        <v/>
      </c>
    </row>
    <row r="103" ht="15.75" customHeight="1">
      <c r="A103" s="49" t="s">
        <v>20</v>
      </c>
      <c r="B103" s="10"/>
      <c r="C103" s="15"/>
      <c r="D103" s="14"/>
      <c r="E103" s="15"/>
      <c r="F103" s="16"/>
      <c r="G103" s="50">
        <v>1.0</v>
      </c>
      <c r="H103" s="17" t="str">
        <f t="shared" si="3"/>
        <v/>
      </c>
    </row>
    <row r="104" ht="15.75" customHeight="1">
      <c r="A104" s="18"/>
      <c r="B104" s="10"/>
      <c r="C104" s="15"/>
      <c r="D104" s="14"/>
      <c r="E104" s="15"/>
      <c r="F104" s="16"/>
      <c r="G104" s="15"/>
      <c r="H104" s="17" t="str">
        <f t="shared" si="3"/>
        <v/>
      </c>
    </row>
    <row r="105" ht="15.75" customHeight="1">
      <c r="A105" s="18"/>
      <c r="B105" s="10"/>
      <c r="C105" s="15"/>
      <c r="D105" s="14"/>
      <c r="E105" s="15"/>
      <c r="F105" s="16"/>
      <c r="G105" s="15"/>
      <c r="H105" s="17" t="str">
        <f t="shared" si="3"/>
        <v/>
      </c>
    </row>
    <row r="106" ht="15.75" customHeight="1">
      <c r="A106" s="18"/>
      <c r="B106" s="10"/>
      <c r="C106" s="15"/>
      <c r="D106" s="14"/>
      <c r="E106" s="15"/>
      <c r="F106" s="16"/>
      <c r="G106" s="15"/>
      <c r="H106" s="17" t="str">
        <f t="shared" si="3"/>
        <v/>
      </c>
    </row>
    <row r="107" ht="15.75" customHeight="1">
      <c r="A107" s="18"/>
      <c r="B107" s="10"/>
      <c r="C107" s="15"/>
      <c r="D107" s="14"/>
      <c r="E107" s="15"/>
      <c r="F107" s="16"/>
      <c r="G107" s="15"/>
      <c r="H107" s="17" t="str">
        <f t="shared" si="3"/>
        <v/>
      </c>
    </row>
    <row r="108" ht="15.75" customHeight="1">
      <c r="A108" s="18"/>
      <c r="B108" s="10"/>
      <c r="C108" s="15"/>
      <c r="D108" s="14"/>
      <c r="E108" s="15"/>
      <c r="F108" s="16"/>
      <c r="G108" s="15"/>
      <c r="H108" s="17" t="str">
        <f t="shared" si="3"/>
        <v/>
      </c>
    </row>
    <row r="109" ht="15.75" customHeight="1">
      <c r="A109" s="18"/>
      <c r="B109" s="10"/>
      <c r="C109" s="15"/>
      <c r="D109" s="14"/>
      <c r="E109" s="15"/>
      <c r="F109" s="16"/>
      <c r="G109" s="15"/>
      <c r="H109" s="17" t="str">
        <f t="shared" si="3"/>
        <v/>
      </c>
    </row>
    <row r="110" ht="15.75" customHeight="1">
      <c r="A110" s="18"/>
      <c r="B110" s="10"/>
      <c r="C110" s="15"/>
      <c r="D110" s="14"/>
      <c r="E110" s="15"/>
      <c r="F110" s="16"/>
      <c r="G110" s="15"/>
      <c r="H110" s="17" t="str">
        <f t="shared" si="3"/>
        <v/>
      </c>
    </row>
    <row r="111" ht="15.75" customHeight="1">
      <c r="A111" s="18"/>
      <c r="B111" s="10"/>
      <c r="C111" s="15"/>
      <c r="D111" s="14"/>
      <c r="E111" s="15"/>
      <c r="F111" s="16"/>
      <c r="G111" s="15"/>
      <c r="H111" s="17" t="str">
        <f t="shared" si="3"/>
        <v/>
      </c>
    </row>
    <row r="112" ht="15.75" customHeight="1">
      <c r="A112" s="18"/>
      <c r="B112" s="10"/>
      <c r="C112" s="15"/>
      <c r="D112" s="14"/>
      <c r="E112" s="15"/>
      <c r="F112" s="16"/>
      <c r="G112" s="15"/>
      <c r="H112" s="17" t="str">
        <f t="shared" si="3"/>
        <v/>
      </c>
    </row>
    <row r="113" ht="15.75" customHeight="1">
      <c r="A113" s="18"/>
      <c r="B113" s="10"/>
      <c r="C113" s="15"/>
      <c r="D113" s="14"/>
      <c r="E113" s="15"/>
      <c r="F113" s="16"/>
      <c r="G113" s="15"/>
      <c r="H113" s="17" t="str">
        <f t="shared" si="3"/>
        <v/>
      </c>
    </row>
    <row r="114" ht="15.75" customHeight="1">
      <c r="A114" s="18"/>
      <c r="B114" s="10"/>
      <c r="C114" s="15"/>
      <c r="D114" s="14"/>
      <c r="E114" s="15"/>
      <c r="F114" s="16"/>
      <c r="G114" s="15"/>
      <c r="H114" s="17" t="str">
        <f t="shared" si="3"/>
        <v/>
      </c>
    </row>
    <row r="115" ht="15.75" customHeight="1">
      <c r="A115" s="18"/>
      <c r="B115" s="10"/>
      <c r="C115" s="15"/>
      <c r="D115" s="14"/>
      <c r="E115" s="15"/>
      <c r="F115" s="16"/>
      <c r="G115" s="15"/>
      <c r="H115" s="17" t="str">
        <f t="shared" si="3"/>
        <v/>
      </c>
    </row>
    <row r="116" ht="15.75" customHeight="1">
      <c r="A116" s="18"/>
      <c r="B116" s="10"/>
      <c r="C116" s="15"/>
      <c r="D116" s="14"/>
      <c r="E116" s="15"/>
      <c r="F116" s="16"/>
      <c r="G116" s="15"/>
      <c r="H116" s="17" t="str">
        <f t="shared" si="3"/>
        <v/>
      </c>
    </row>
    <row r="117" ht="15.75" customHeight="1">
      <c r="A117" s="18"/>
      <c r="B117" s="10"/>
      <c r="C117" s="15"/>
      <c r="D117" s="14"/>
      <c r="E117" s="15"/>
      <c r="F117" s="16"/>
      <c r="G117" s="15"/>
      <c r="H117" s="17" t="str">
        <f t="shared" si="3"/>
        <v/>
      </c>
    </row>
    <row r="118" ht="15.75" customHeight="1">
      <c r="A118" s="18"/>
      <c r="B118" s="10"/>
      <c r="C118" s="15"/>
      <c r="D118" s="14"/>
      <c r="E118" s="15"/>
      <c r="F118" s="16"/>
      <c r="G118" s="15"/>
      <c r="H118" s="17" t="str">
        <f t="shared" si="3"/>
        <v/>
      </c>
    </row>
    <row r="119" ht="15.75" customHeight="1">
      <c r="A119" s="18"/>
      <c r="B119" s="10"/>
      <c r="C119" s="15"/>
      <c r="D119" s="14"/>
      <c r="E119" s="15"/>
      <c r="F119" s="16"/>
      <c r="G119" s="15"/>
      <c r="H119" s="17" t="str">
        <f t="shared" si="3"/>
        <v/>
      </c>
    </row>
    <row r="120" ht="15.75" customHeight="1">
      <c r="A120" s="18"/>
      <c r="B120" s="10"/>
      <c r="C120" s="15"/>
      <c r="D120" s="14"/>
      <c r="E120" s="15"/>
      <c r="F120" s="16"/>
      <c r="G120" s="15"/>
      <c r="H120" s="17" t="str">
        <f t="shared" si="3"/>
        <v/>
      </c>
    </row>
    <row r="121" ht="15.75" customHeight="1">
      <c r="A121" s="18"/>
      <c r="B121" s="10"/>
      <c r="C121" s="15"/>
      <c r="D121" s="14"/>
      <c r="E121" s="15"/>
      <c r="F121" s="16"/>
      <c r="G121" s="15"/>
      <c r="H121" s="17" t="str">
        <f t="shared" si="3"/>
        <v/>
      </c>
    </row>
    <row r="122" ht="15.75" customHeight="1">
      <c r="A122" s="18"/>
      <c r="B122" s="10"/>
      <c r="C122" s="15"/>
      <c r="D122" s="14"/>
      <c r="E122" s="15"/>
      <c r="F122" s="16"/>
      <c r="G122" s="15"/>
      <c r="H122" s="17" t="str">
        <f t="shared" si="3"/>
        <v/>
      </c>
    </row>
    <row r="123" ht="15.75" customHeight="1">
      <c r="A123" s="18"/>
      <c r="B123" s="10"/>
      <c r="C123" s="15"/>
      <c r="D123" s="14"/>
      <c r="E123" s="15"/>
      <c r="F123" s="16"/>
      <c r="G123" s="15"/>
      <c r="H123" s="17" t="str">
        <f t="shared" si="3"/>
        <v/>
      </c>
    </row>
    <row r="124" ht="15.75" customHeight="1">
      <c r="A124" s="18"/>
      <c r="B124" s="10"/>
      <c r="C124" s="15"/>
      <c r="D124" s="14"/>
      <c r="E124" s="15"/>
      <c r="F124" s="16"/>
      <c r="G124" s="15"/>
      <c r="H124" s="17" t="str">
        <f t="shared" si="3"/>
        <v/>
      </c>
    </row>
    <row r="125" ht="15.75" customHeight="1">
      <c r="A125" s="18"/>
      <c r="B125" s="10"/>
      <c r="C125" s="15"/>
      <c r="D125" s="14"/>
      <c r="E125" s="15"/>
      <c r="F125" s="16"/>
      <c r="G125" s="15"/>
      <c r="H125" s="17" t="str">
        <f t="shared" si="3"/>
        <v/>
      </c>
    </row>
    <row r="126" ht="15.75" customHeight="1">
      <c r="A126" s="18"/>
      <c r="B126" s="10"/>
      <c r="C126" s="15"/>
      <c r="D126" s="14"/>
      <c r="E126" s="15"/>
      <c r="F126" s="16"/>
      <c r="G126" s="15"/>
      <c r="H126" s="17" t="str">
        <f t="shared" si="3"/>
        <v/>
      </c>
    </row>
    <row r="127" ht="15.75" customHeight="1">
      <c r="A127" s="18"/>
      <c r="B127" s="10"/>
      <c r="C127" s="15"/>
      <c r="D127" s="14"/>
      <c r="E127" s="15"/>
      <c r="F127" s="16"/>
      <c r="G127" s="15"/>
      <c r="H127" s="17" t="str">
        <f t="shared" si="3"/>
        <v/>
      </c>
    </row>
    <row r="128" ht="15.75" customHeight="1">
      <c r="A128" s="18"/>
      <c r="B128" s="10"/>
      <c r="C128" s="15"/>
      <c r="D128" s="14"/>
      <c r="E128" s="15"/>
      <c r="F128" s="16"/>
      <c r="G128" s="15"/>
      <c r="H128" s="17" t="str">
        <f t="shared" si="3"/>
        <v/>
      </c>
    </row>
    <row r="129" ht="15.75" customHeight="1">
      <c r="A129" s="18"/>
      <c r="B129" s="10"/>
      <c r="C129" s="15"/>
      <c r="D129" s="14"/>
      <c r="E129" s="15"/>
      <c r="F129" s="16"/>
      <c r="G129" s="15"/>
      <c r="H129" s="17" t="str">
        <f t="shared" si="3"/>
        <v/>
      </c>
    </row>
    <row r="130" ht="15.75" customHeight="1">
      <c r="A130" s="18"/>
      <c r="B130" s="10"/>
      <c r="C130" s="15"/>
      <c r="D130" s="14"/>
      <c r="E130" s="15"/>
      <c r="F130" s="16"/>
      <c r="G130" s="15"/>
      <c r="H130" s="17" t="str">
        <f t="shared" si="3"/>
        <v/>
      </c>
    </row>
    <row r="131" ht="15.75" customHeight="1">
      <c r="A131" s="18"/>
      <c r="B131" s="10"/>
      <c r="C131" s="15"/>
      <c r="D131" s="14"/>
      <c r="E131" s="15"/>
      <c r="F131" s="16"/>
      <c r="G131" s="15"/>
      <c r="H131" s="17" t="str">
        <f t="shared" si="3"/>
        <v/>
      </c>
    </row>
    <row r="132" ht="15.75" customHeight="1">
      <c r="A132" s="18"/>
      <c r="B132" s="10"/>
      <c r="C132" s="15"/>
      <c r="D132" s="14"/>
      <c r="E132" s="15"/>
      <c r="F132" s="16"/>
      <c r="G132" s="15"/>
      <c r="H132" s="17" t="str">
        <f t="shared" si="3"/>
        <v/>
      </c>
    </row>
    <row r="133" ht="15.75" customHeight="1">
      <c r="A133" s="18"/>
      <c r="B133" s="10"/>
      <c r="C133" s="15"/>
      <c r="D133" s="14"/>
      <c r="E133" s="15"/>
      <c r="F133" s="16"/>
      <c r="G133" s="15"/>
      <c r="H133" s="17" t="str">
        <f t="shared" si="3"/>
        <v/>
      </c>
    </row>
    <row r="134" ht="15.75" customHeight="1">
      <c r="A134" s="18"/>
      <c r="B134" s="10"/>
      <c r="C134" s="15"/>
      <c r="D134" s="14"/>
      <c r="E134" s="15"/>
      <c r="F134" s="16"/>
      <c r="G134" s="15"/>
      <c r="H134" s="17" t="str">
        <f t="shared" si="3"/>
        <v/>
      </c>
    </row>
    <row r="135" ht="15.75" customHeight="1">
      <c r="A135" s="18"/>
      <c r="B135" s="10"/>
      <c r="C135" s="15"/>
      <c r="D135" s="14"/>
      <c r="E135" s="15"/>
      <c r="F135" s="16"/>
      <c r="G135" s="15"/>
      <c r="H135" s="17" t="str">
        <f t="shared" si="3"/>
        <v/>
      </c>
    </row>
    <row r="136" ht="15.75" customHeight="1">
      <c r="A136" s="18"/>
      <c r="B136" s="10"/>
      <c r="C136" s="15"/>
      <c r="D136" s="14"/>
      <c r="E136" s="15"/>
      <c r="F136" s="16"/>
      <c r="G136" s="15"/>
      <c r="H136" s="17" t="str">
        <f t="shared" si="3"/>
        <v/>
      </c>
    </row>
    <row r="137" ht="15.75" customHeight="1">
      <c r="A137" s="25" t="s">
        <v>8</v>
      </c>
      <c r="B137" s="26"/>
      <c r="C137" s="26"/>
      <c r="D137" s="26"/>
      <c r="E137" s="27"/>
      <c r="F137" s="28">
        <f>COUNTA(A98:B136)</f>
        <v>6</v>
      </c>
      <c r="G137" s="29">
        <f>SUM(G98:G136)</f>
        <v>8</v>
      </c>
      <c r="H137" s="30"/>
    </row>
    <row r="138" ht="15.75" customHeight="1">
      <c r="A138" s="31" t="s">
        <v>9</v>
      </c>
      <c r="B138" s="32"/>
      <c r="C138" s="32"/>
      <c r="D138" s="32"/>
      <c r="E138" s="32"/>
      <c r="F138" s="32"/>
      <c r="G138" s="33">
        <f>3*F137</f>
        <v>18</v>
      </c>
      <c r="H138" s="1"/>
    </row>
    <row r="139" ht="15.75" customHeight="1">
      <c r="A139" s="34" t="s">
        <v>10</v>
      </c>
      <c r="B139" s="27"/>
      <c r="C139" s="27"/>
      <c r="D139" s="27"/>
      <c r="E139" s="27"/>
      <c r="F139" s="27"/>
      <c r="G139" s="51">
        <v>2.0</v>
      </c>
      <c r="H139" s="1"/>
    </row>
    <row r="140" ht="15.75" customHeight="1">
      <c r="A140" s="36" t="s">
        <v>11</v>
      </c>
      <c r="B140" s="37"/>
      <c r="C140" s="37"/>
      <c r="D140" s="37"/>
      <c r="E140" s="37"/>
      <c r="F140" s="38"/>
      <c r="G140" s="39">
        <f>G137/G138*G139</f>
        <v>0.8888888889</v>
      </c>
      <c r="H140" s="1"/>
    </row>
    <row r="141" ht="15.75" customHeight="1">
      <c r="A141" s="34" t="s">
        <v>12</v>
      </c>
      <c r="B141" s="27"/>
      <c r="C141" s="27"/>
      <c r="D141" s="27"/>
      <c r="E141" s="27"/>
      <c r="F141" s="27"/>
      <c r="G141" s="40"/>
      <c r="H141" s="41"/>
    </row>
    <row r="142" ht="15.75" customHeight="1">
      <c r="A142" s="42"/>
      <c r="G142" s="43"/>
      <c r="H142" s="44"/>
    </row>
    <row r="143" ht="15.75" customHeight="1">
      <c r="A143" s="45"/>
      <c r="G143" s="43"/>
      <c r="H143" s="44"/>
    </row>
    <row r="144" ht="15.75" customHeight="1">
      <c r="A144" s="46"/>
      <c r="B144" s="47"/>
      <c r="C144" s="47"/>
      <c r="D144" s="47"/>
      <c r="E144" s="47"/>
      <c r="F144" s="47"/>
      <c r="G144" s="48"/>
      <c r="H144" s="44"/>
    </row>
    <row r="145" ht="15.75" customHeight="1">
      <c r="A145" s="9" t="s">
        <v>21</v>
      </c>
      <c r="B145" s="10"/>
      <c r="C145" s="11">
        <v>0.0</v>
      </c>
      <c r="D145" s="12">
        <v>1.0</v>
      </c>
      <c r="E145" s="11">
        <v>2.0</v>
      </c>
      <c r="F145" s="13">
        <v>3.0</v>
      </c>
      <c r="G145" s="11" t="s">
        <v>6</v>
      </c>
      <c r="H145" s="11" t="s">
        <v>7</v>
      </c>
    </row>
    <row r="146" ht="15.75" customHeight="1">
      <c r="A146" s="49" t="s">
        <v>22</v>
      </c>
      <c r="B146" s="10"/>
      <c r="C146" s="15"/>
      <c r="D146" s="14"/>
      <c r="E146" s="15"/>
      <c r="F146" s="16"/>
      <c r="G146" s="50">
        <v>0.0</v>
      </c>
      <c r="H146" s="17" t="str">
        <f t="shared" ref="H146:H184" si="4">IF(G146&gt;=2,"SI","")</f>
        <v/>
      </c>
    </row>
    <row r="147" ht="15.75" customHeight="1">
      <c r="A147" s="49" t="s">
        <v>23</v>
      </c>
      <c r="B147" s="10"/>
      <c r="C147" s="15"/>
      <c r="D147" s="14"/>
      <c r="E147" s="15"/>
      <c r="F147" s="16"/>
      <c r="G147" s="15">
        <v>1.0</v>
      </c>
      <c r="H147" s="17" t="str">
        <f t="shared" si="4"/>
        <v/>
      </c>
    </row>
    <row r="148" ht="15.75" customHeight="1">
      <c r="C148" s="15"/>
      <c r="D148" s="14"/>
      <c r="E148" s="15"/>
      <c r="F148" s="16"/>
      <c r="G148" s="15"/>
      <c r="H148" s="17" t="str">
        <f t="shared" si="4"/>
        <v/>
      </c>
    </row>
    <row r="149" ht="15.75" customHeight="1">
      <c r="A149" s="18"/>
      <c r="B149" s="10"/>
      <c r="C149" s="15"/>
      <c r="D149" s="14"/>
      <c r="E149" s="15"/>
      <c r="F149" s="16"/>
      <c r="G149" s="15"/>
      <c r="H149" s="17" t="str">
        <f t="shared" si="4"/>
        <v/>
      </c>
    </row>
    <row r="150" ht="15.75" customHeight="1">
      <c r="A150" s="18"/>
      <c r="B150" s="10"/>
      <c r="C150" s="15"/>
      <c r="D150" s="14"/>
      <c r="E150" s="15"/>
      <c r="F150" s="16"/>
      <c r="G150" s="15"/>
      <c r="H150" s="17" t="str">
        <f t="shared" si="4"/>
        <v/>
      </c>
    </row>
    <row r="151" ht="15.75" customHeight="1">
      <c r="A151" s="18"/>
      <c r="B151" s="10"/>
      <c r="C151" s="15"/>
      <c r="D151" s="14"/>
      <c r="E151" s="15"/>
      <c r="F151" s="16"/>
      <c r="G151" s="15"/>
      <c r="H151" s="17" t="str">
        <f t="shared" si="4"/>
        <v/>
      </c>
    </row>
    <row r="152" ht="15.75" customHeight="1">
      <c r="A152" s="18"/>
      <c r="B152" s="10"/>
      <c r="C152" s="15"/>
      <c r="D152" s="14"/>
      <c r="E152" s="15"/>
      <c r="F152" s="16"/>
      <c r="G152" s="15"/>
      <c r="H152" s="17" t="str">
        <f t="shared" si="4"/>
        <v/>
      </c>
    </row>
    <row r="153" ht="15.75" customHeight="1">
      <c r="A153" s="18"/>
      <c r="B153" s="10"/>
      <c r="C153" s="15"/>
      <c r="D153" s="14"/>
      <c r="E153" s="15"/>
      <c r="F153" s="16"/>
      <c r="G153" s="15"/>
      <c r="H153" s="17" t="str">
        <f t="shared" si="4"/>
        <v/>
      </c>
    </row>
    <row r="154" ht="15.75" customHeight="1">
      <c r="A154" s="18"/>
      <c r="B154" s="10"/>
      <c r="C154" s="15"/>
      <c r="D154" s="14"/>
      <c r="E154" s="15"/>
      <c r="F154" s="16"/>
      <c r="G154" s="15"/>
      <c r="H154" s="17" t="str">
        <f t="shared" si="4"/>
        <v/>
      </c>
    </row>
    <row r="155" ht="15.75" customHeight="1">
      <c r="A155" s="18"/>
      <c r="B155" s="10"/>
      <c r="C155" s="15"/>
      <c r="D155" s="14"/>
      <c r="E155" s="15"/>
      <c r="F155" s="16"/>
      <c r="G155" s="15"/>
      <c r="H155" s="17" t="str">
        <f t="shared" si="4"/>
        <v/>
      </c>
    </row>
    <row r="156" ht="15.75" customHeight="1">
      <c r="A156" s="18"/>
      <c r="B156" s="10"/>
      <c r="C156" s="15"/>
      <c r="D156" s="14"/>
      <c r="E156" s="15"/>
      <c r="F156" s="16"/>
      <c r="G156" s="15"/>
      <c r="H156" s="17" t="str">
        <f t="shared" si="4"/>
        <v/>
      </c>
    </row>
    <row r="157" ht="15.75" customHeight="1">
      <c r="A157" s="18"/>
      <c r="B157" s="10"/>
      <c r="C157" s="15"/>
      <c r="D157" s="14"/>
      <c r="E157" s="15"/>
      <c r="F157" s="16"/>
      <c r="G157" s="15"/>
      <c r="H157" s="17" t="str">
        <f t="shared" si="4"/>
        <v/>
      </c>
    </row>
    <row r="158" ht="15.75" customHeight="1">
      <c r="A158" s="18"/>
      <c r="B158" s="10"/>
      <c r="C158" s="15"/>
      <c r="D158" s="14"/>
      <c r="E158" s="15"/>
      <c r="F158" s="16"/>
      <c r="G158" s="15"/>
      <c r="H158" s="17" t="str">
        <f t="shared" si="4"/>
        <v/>
      </c>
    </row>
    <row r="159" ht="15.75" customHeight="1">
      <c r="A159" s="18"/>
      <c r="B159" s="10"/>
      <c r="C159" s="15"/>
      <c r="D159" s="14"/>
      <c r="E159" s="15"/>
      <c r="F159" s="16"/>
      <c r="G159" s="15"/>
      <c r="H159" s="17" t="str">
        <f t="shared" si="4"/>
        <v/>
      </c>
    </row>
    <row r="160" ht="15.75" customHeight="1">
      <c r="A160" s="18"/>
      <c r="B160" s="10"/>
      <c r="C160" s="15"/>
      <c r="D160" s="14"/>
      <c r="E160" s="15"/>
      <c r="F160" s="16"/>
      <c r="G160" s="15"/>
      <c r="H160" s="17" t="str">
        <f t="shared" si="4"/>
        <v/>
      </c>
    </row>
    <row r="161" ht="15.75" customHeight="1">
      <c r="A161" s="18"/>
      <c r="B161" s="10"/>
      <c r="C161" s="15"/>
      <c r="D161" s="14"/>
      <c r="E161" s="15"/>
      <c r="F161" s="16"/>
      <c r="G161" s="15"/>
      <c r="H161" s="17" t="str">
        <f t="shared" si="4"/>
        <v/>
      </c>
    </row>
    <row r="162" ht="15.75" customHeight="1">
      <c r="A162" s="18"/>
      <c r="B162" s="10"/>
      <c r="C162" s="15"/>
      <c r="D162" s="14"/>
      <c r="E162" s="15"/>
      <c r="F162" s="16"/>
      <c r="G162" s="15"/>
      <c r="H162" s="17" t="str">
        <f t="shared" si="4"/>
        <v/>
      </c>
    </row>
    <row r="163" ht="15.75" customHeight="1">
      <c r="A163" s="18"/>
      <c r="B163" s="10"/>
      <c r="C163" s="15"/>
      <c r="D163" s="14"/>
      <c r="E163" s="15"/>
      <c r="F163" s="16"/>
      <c r="G163" s="15"/>
      <c r="H163" s="17" t="str">
        <f t="shared" si="4"/>
        <v/>
      </c>
    </row>
    <row r="164" ht="15.75" customHeight="1">
      <c r="A164" s="18"/>
      <c r="B164" s="10"/>
      <c r="C164" s="15"/>
      <c r="D164" s="14"/>
      <c r="E164" s="15"/>
      <c r="F164" s="16"/>
      <c r="G164" s="15"/>
      <c r="H164" s="17" t="str">
        <f t="shared" si="4"/>
        <v/>
      </c>
    </row>
    <row r="165" ht="15.75" customHeight="1">
      <c r="A165" s="18"/>
      <c r="B165" s="10"/>
      <c r="C165" s="15"/>
      <c r="D165" s="14"/>
      <c r="E165" s="15"/>
      <c r="F165" s="16"/>
      <c r="G165" s="15"/>
      <c r="H165" s="17" t="str">
        <f t="shared" si="4"/>
        <v/>
      </c>
    </row>
    <row r="166" ht="15.75" customHeight="1">
      <c r="A166" s="18"/>
      <c r="B166" s="10"/>
      <c r="C166" s="15"/>
      <c r="D166" s="14"/>
      <c r="E166" s="15"/>
      <c r="F166" s="16"/>
      <c r="G166" s="15"/>
      <c r="H166" s="17" t="str">
        <f t="shared" si="4"/>
        <v/>
      </c>
    </row>
    <row r="167" ht="15.75" customHeight="1">
      <c r="A167" s="18"/>
      <c r="B167" s="10"/>
      <c r="C167" s="15"/>
      <c r="D167" s="14"/>
      <c r="E167" s="15"/>
      <c r="F167" s="16"/>
      <c r="G167" s="15"/>
      <c r="H167" s="17" t="str">
        <f t="shared" si="4"/>
        <v/>
      </c>
    </row>
    <row r="168" ht="15.75" customHeight="1">
      <c r="A168" s="18"/>
      <c r="B168" s="10"/>
      <c r="C168" s="15"/>
      <c r="D168" s="14"/>
      <c r="E168" s="15"/>
      <c r="F168" s="16"/>
      <c r="G168" s="15"/>
      <c r="H168" s="17" t="str">
        <f t="shared" si="4"/>
        <v/>
      </c>
    </row>
    <row r="169" ht="15.75" customHeight="1">
      <c r="A169" s="18"/>
      <c r="B169" s="10"/>
      <c r="C169" s="15"/>
      <c r="D169" s="14"/>
      <c r="E169" s="15"/>
      <c r="F169" s="16"/>
      <c r="G169" s="15"/>
      <c r="H169" s="17" t="str">
        <f t="shared" si="4"/>
        <v/>
      </c>
    </row>
    <row r="170" ht="15.75" customHeight="1">
      <c r="A170" s="18"/>
      <c r="B170" s="10"/>
      <c r="C170" s="15"/>
      <c r="D170" s="14"/>
      <c r="E170" s="15"/>
      <c r="F170" s="16"/>
      <c r="G170" s="15"/>
      <c r="H170" s="17" t="str">
        <f t="shared" si="4"/>
        <v/>
      </c>
    </row>
    <row r="171" ht="15.75" customHeight="1">
      <c r="A171" s="18"/>
      <c r="B171" s="10"/>
      <c r="C171" s="15"/>
      <c r="D171" s="14"/>
      <c r="E171" s="15"/>
      <c r="F171" s="16"/>
      <c r="G171" s="15"/>
      <c r="H171" s="17" t="str">
        <f t="shared" si="4"/>
        <v/>
      </c>
    </row>
    <row r="172" ht="15.75" customHeight="1">
      <c r="A172" s="18"/>
      <c r="B172" s="10"/>
      <c r="C172" s="15"/>
      <c r="D172" s="14"/>
      <c r="E172" s="15"/>
      <c r="F172" s="16"/>
      <c r="G172" s="15"/>
      <c r="H172" s="17" t="str">
        <f t="shared" si="4"/>
        <v/>
      </c>
    </row>
    <row r="173" ht="15.75" customHeight="1">
      <c r="A173" s="18"/>
      <c r="B173" s="10"/>
      <c r="C173" s="15"/>
      <c r="D173" s="14"/>
      <c r="E173" s="15"/>
      <c r="F173" s="16"/>
      <c r="G173" s="15"/>
      <c r="H173" s="17" t="str">
        <f t="shared" si="4"/>
        <v/>
      </c>
    </row>
    <row r="174" ht="15.75" customHeight="1">
      <c r="A174" s="18"/>
      <c r="B174" s="10"/>
      <c r="C174" s="15"/>
      <c r="D174" s="14"/>
      <c r="E174" s="15"/>
      <c r="F174" s="16"/>
      <c r="G174" s="15"/>
      <c r="H174" s="17" t="str">
        <f t="shared" si="4"/>
        <v/>
      </c>
    </row>
    <row r="175" ht="15.75" customHeight="1">
      <c r="A175" s="18"/>
      <c r="B175" s="10"/>
      <c r="C175" s="15"/>
      <c r="D175" s="14"/>
      <c r="E175" s="15"/>
      <c r="F175" s="16"/>
      <c r="G175" s="15"/>
      <c r="H175" s="17" t="str">
        <f t="shared" si="4"/>
        <v/>
      </c>
    </row>
    <row r="176" ht="15.75" customHeight="1">
      <c r="A176" s="18"/>
      <c r="B176" s="10"/>
      <c r="C176" s="15"/>
      <c r="D176" s="14"/>
      <c r="E176" s="15"/>
      <c r="F176" s="16"/>
      <c r="G176" s="15"/>
      <c r="H176" s="17" t="str">
        <f t="shared" si="4"/>
        <v/>
      </c>
    </row>
    <row r="177" ht="15.75" customHeight="1">
      <c r="A177" s="18"/>
      <c r="B177" s="10"/>
      <c r="C177" s="15"/>
      <c r="D177" s="14"/>
      <c r="E177" s="15"/>
      <c r="F177" s="16"/>
      <c r="G177" s="15"/>
      <c r="H177" s="17" t="str">
        <f t="shared" si="4"/>
        <v/>
      </c>
    </row>
    <row r="178" ht="15.75" customHeight="1">
      <c r="A178" s="18"/>
      <c r="B178" s="10"/>
      <c r="C178" s="15"/>
      <c r="D178" s="14"/>
      <c r="E178" s="15"/>
      <c r="F178" s="16"/>
      <c r="G178" s="15"/>
      <c r="H178" s="17" t="str">
        <f t="shared" si="4"/>
        <v/>
      </c>
    </row>
    <row r="179" ht="15.75" customHeight="1">
      <c r="A179" s="18"/>
      <c r="B179" s="10"/>
      <c r="C179" s="15"/>
      <c r="D179" s="14"/>
      <c r="E179" s="15"/>
      <c r="F179" s="16"/>
      <c r="G179" s="15"/>
      <c r="H179" s="17" t="str">
        <f t="shared" si="4"/>
        <v/>
      </c>
    </row>
    <row r="180" ht="15.75" customHeight="1">
      <c r="A180" s="18"/>
      <c r="B180" s="10"/>
      <c r="C180" s="15"/>
      <c r="D180" s="14"/>
      <c r="E180" s="15"/>
      <c r="F180" s="16"/>
      <c r="G180" s="15"/>
      <c r="H180" s="17" t="str">
        <f t="shared" si="4"/>
        <v/>
      </c>
    </row>
    <row r="181" ht="15.75" customHeight="1">
      <c r="A181" s="18"/>
      <c r="B181" s="10"/>
      <c r="C181" s="15"/>
      <c r="D181" s="14"/>
      <c r="E181" s="15"/>
      <c r="F181" s="16"/>
      <c r="G181" s="15"/>
      <c r="H181" s="17" t="str">
        <f t="shared" si="4"/>
        <v/>
      </c>
    </row>
    <row r="182" ht="15.75" customHeight="1">
      <c r="A182" s="18"/>
      <c r="B182" s="10"/>
      <c r="C182" s="15"/>
      <c r="D182" s="14"/>
      <c r="E182" s="15"/>
      <c r="F182" s="16"/>
      <c r="G182" s="15"/>
      <c r="H182" s="17" t="str">
        <f t="shared" si="4"/>
        <v/>
      </c>
    </row>
    <row r="183" ht="15.75" customHeight="1">
      <c r="A183" s="18"/>
      <c r="B183" s="10"/>
      <c r="C183" s="15"/>
      <c r="D183" s="14"/>
      <c r="E183" s="15"/>
      <c r="F183" s="16"/>
      <c r="G183" s="15"/>
      <c r="H183" s="17" t="str">
        <f t="shared" si="4"/>
        <v/>
      </c>
    </row>
    <row r="184" ht="15.75" customHeight="1">
      <c r="A184" s="18"/>
      <c r="B184" s="10"/>
      <c r="C184" s="15"/>
      <c r="D184" s="14"/>
      <c r="E184" s="15"/>
      <c r="F184" s="16"/>
      <c r="G184" s="15"/>
      <c r="H184" s="17" t="str">
        <f t="shared" si="4"/>
        <v/>
      </c>
    </row>
    <row r="185" ht="15.75" customHeight="1">
      <c r="A185" s="25" t="s">
        <v>8</v>
      </c>
      <c r="B185" s="26"/>
      <c r="C185" s="26"/>
      <c r="D185" s="26"/>
      <c r="E185" s="27"/>
      <c r="F185" s="28">
        <f>COUNTA(A146:B184)</f>
        <v>2</v>
      </c>
      <c r="G185" s="29">
        <f>SUM(G146:G184)</f>
        <v>1</v>
      </c>
      <c r="H185" s="30"/>
    </row>
    <row r="186" ht="15.75" customHeight="1">
      <c r="A186" s="31" t="s">
        <v>9</v>
      </c>
      <c r="B186" s="32"/>
      <c r="C186" s="32"/>
      <c r="D186" s="32"/>
      <c r="E186" s="32"/>
      <c r="F186" s="32"/>
      <c r="G186" s="33">
        <f>3*F185</f>
        <v>6</v>
      </c>
      <c r="H186" s="1"/>
    </row>
    <row r="187" ht="15.75" customHeight="1">
      <c r="A187" s="34" t="s">
        <v>10</v>
      </c>
      <c r="B187" s="27"/>
      <c r="C187" s="27"/>
      <c r="D187" s="27"/>
      <c r="E187" s="27"/>
      <c r="F187" s="27"/>
      <c r="G187" s="35">
        <v>4.0</v>
      </c>
      <c r="H187" s="1"/>
    </row>
    <row r="188" ht="15.75" customHeight="1">
      <c r="A188" s="36" t="s">
        <v>11</v>
      </c>
      <c r="B188" s="37"/>
      <c r="C188" s="37"/>
      <c r="D188" s="37"/>
      <c r="E188" s="37"/>
      <c r="F188" s="38"/>
      <c r="G188" s="39">
        <f>G185/G186*G187</f>
        <v>0.6666666667</v>
      </c>
      <c r="H188" s="1"/>
    </row>
    <row r="189" ht="15.75" customHeight="1">
      <c r="A189" s="34" t="s">
        <v>12</v>
      </c>
      <c r="B189" s="27"/>
      <c r="C189" s="27"/>
      <c r="D189" s="27"/>
      <c r="E189" s="27"/>
      <c r="F189" s="27"/>
      <c r="G189" s="40"/>
      <c r="H189" s="41"/>
    </row>
    <row r="190" ht="15.75" customHeight="1">
      <c r="A190" s="42"/>
      <c r="G190" s="43"/>
      <c r="H190" s="44"/>
    </row>
    <row r="191" ht="15.75" customHeight="1">
      <c r="A191" s="45"/>
      <c r="G191" s="43"/>
      <c r="H191" s="44"/>
    </row>
    <row r="192" ht="15.75" customHeight="1">
      <c r="A192" s="46"/>
      <c r="B192" s="47"/>
      <c r="C192" s="47"/>
      <c r="D192" s="47"/>
      <c r="E192" s="47"/>
      <c r="F192" s="47"/>
      <c r="G192" s="48"/>
      <c r="H192" s="44"/>
    </row>
    <row r="193" ht="15.75" customHeight="1">
      <c r="A193" s="9" t="s">
        <v>24</v>
      </c>
      <c r="B193" s="10"/>
      <c r="C193" s="11">
        <v>0.0</v>
      </c>
      <c r="D193" s="12">
        <v>1.0</v>
      </c>
      <c r="E193" s="11">
        <v>2.0</v>
      </c>
      <c r="F193" s="13">
        <v>3.0</v>
      </c>
      <c r="G193" s="11" t="s">
        <v>6</v>
      </c>
      <c r="H193" s="11" t="s">
        <v>7</v>
      </c>
    </row>
    <row r="194" ht="15.75" customHeight="1">
      <c r="A194" s="18"/>
      <c r="B194" s="10"/>
      <c r="C194" s="15"/>
      <c r="D194" s="14"/>
      <c r="E194" s="15"/>
      <c r="F194" s="16"/>
      <c r="G194" s="15">
        <v>0.0</v>
      </c>
      <c r="H194" s="17" t="str">
        <f t="shared" ref="H194:H232" si="5">IF(G194&gt;=2,"SI","")</f>
        <v/>
      </c>
    </row>
    <row r="195" ht="15.75" customHeight="1">
      <c r="A195" s="18"/>
      <c r="B195" s="10"/>
      <c r="C195" s="15"/>
      <c r="D195" s="14"/>
      <c r="E195" s="15"/>
      <c r="F195" s="16"/>
      <c r="G195" s="15">
        <v>0.0</v>
      </c>
      <c r="H195" s="17" t="str">
        <f t="shared" si="5"/>
        <v/>
      </c>
    </row>
    <row r="196" ht="15.75" customHeight="1">
      <c r="A196" s="18"/>
      <c r="B196" s="10"/>
      <c r="C196" s="15"/>
      <c r="D196" s="14"/>
      <c r="E196" s="15"/>
      <c r="F196" s="16"/>
      <c r="G196" s="15">
        <v>0.0</v>
      </c>
      <c r="H196" s="17" t="str">
        <f t="shared" si="5"/>
        <v/>
      </c>
    </row>
    <row r="197" ht="15.75" customHeight="1">
      <c r="A197" s="18"/>
      <c r="B197" s="10"/>
      <c r="C197" s="15"/>
      <c r="D197" s="14"/>
      <c r="E197" s="15"/>
      <c r="F197" s="16"/>
      <c r="G197" s="15">
        <v>0.0</v>
      </c>
      <c r="H197" s="17" t="str">
        <f t="shared" si="5"/>
        <v/>
      </c>
    </row>
    <row r="198" ht="15.75" customHeight="1">
      <c r="A198" s="18"/>
      <c r="B198" s="10"/>
      <c r="C198" s="15"/>
      <c r="D198" s="14"/>
      <c r="E198" s="15"/>
      <c r="F198" s="16"/>
      <c r="G198" s="15">
        <v>0.0</v>
      </c>
      <c r="H198" s="17" t="str">
        <f t="shared" si="5"/>
        <v/>
      </c>
    </row>
    <row r="199" ht="15.75" customHeight="1">
      <c r="A199" s="18"/>
      <c r="B199" s="10"/>
      <c r="C199" s="15"/>
      <c r="D199" s="14"/>
      <c r="E199" s="15"/>
      <c r="F199" s="16"/>
      <c r="G199" s="15">
        <v>0.0</v>
      </c>
      <c r="H199" s="17" t="str">
        <f t="shared" si="5"/>
        <v/>
      </c>
    </row>
    <row r="200" ht="15.75" customHeight="1">
      <c r="A200" s="18"/>
      <c r="B200" s="10"/>
      <c r="C200" s="15"/>
      <c r="D200" s="14"/>
      <c r="E200" s="15"/>
      <c r="F200" s="16"/>
      <c r="G200" s="15">
        <v>0.0</v>
      </c>
      <c r="H200" s="17" t="str">
        <f t="shared" si="5"/>
        <v/>
      </c>
    </row>
    <row r="201" ht="15.75" customHeight="1">
      <c r="A201" s="18"/>
      <c r="B201" s="10"/>
      <c r="C201" s="15"/>
      <c r="D201" s="14"/>
      <c r="E201" s="15"/>
      <c r="F201" s="16"/>
      <c r="G201" s="15">
        <v>0.0</v>
      </c>
      <c r="H201" s="17" t="str">
        <f t="shared" si="5"/>
        <v/>
      </c>
    </row>
    <row r="202" ht="15.75" customHeight="1">
      <c r="A202" s="18"/>
      <c r="B202" s="10"/>
      <c r="C202" s="15"/>
      <c r="D202" s="14"/>
      <c r="E202" s="15"/>
      <c r="F202" s="16"/>
      <c r="G202" s="15">
        <v>0.0</v>
      </c>
      <c r="H202" s="17" t="str">
        <f t="shared" si="5"/>
        <v/>
      </c>
    </row>
    <row r="203" ht="15.75" customHeight="1">
      <c r="A203" s="18"/>
      <c r="B203" s="10"/>
      <c r="C203" s="15"/>
      <c r="D203" s="14"/>
      <c r="E203" s="15"/>
      <c r="F203" s="16"/>
      <c r="G203" s="15">
        <v>0.0</v>
      </c>
      <c r="H203" s="17" t="str">
        <f t="shared" si="5"/>
        <v/>
      </c>
    </row>
    <row r="204" ht="15.75" customHeight="1">
      <c r="A204" s="18"/>
      <c r="B204" s="10"/>
      <c r="C204" s="15"/>
      <c r="D204" s="14"/>
      <c r="E204" s="15"/>
      <c r="F204" s="16"/>
      <c r="G204" s="15">
        <v>0.0</v>
      </c>
      <c r="H204" s="17" t="str">
        <f t="shared" si="5"/>
        <v/>
      </c>
    </row>
    <row r="205" ht="15.75" customHeight="1">
      <c r="A205" s="18"/>
      <c r="B205" s="10"/>
      <c r="C205" s="15"/>
      <c r="D205" s="14"/>
      <c r="E205" s="15"/>
      <c r="F205" s="16"/>
      <c r="G205" s="15">
        <v>0.0</v>
      </c>
      <c r="H205" s="17" t="str">
        <f t="shared" si="5"/>
        <v/>
      </c>
    </row>
    <row r="206" ht="15.75" customHeight="1">
      <c r="A206" s="18"/>
      <c r="B206" s="10"/>
      <c r="C206" s="15"/>
      <c r="D206" s="14"/>
      <c r="E206" s="15"/>
      <c r="F206" s="16"/>
      <c r="G206" s="15"/>
      <c r="H206" s="17" t="str">
        <f t="shared" si="5"/>
        <v/>
      </c>
    </row>
    <row r="207" ht="15.75" customHeight="1">
      <c r="A207" s="18"/>
      <c r="B207" s="10"/>
      <c r="C207" s="15"/>
      <c r="D207" s="14"/>
      <c r="E207" s="15"/>
      <c r="F207" s="16"/>
      <c r="G207" s="15"/>
      <c r="H207" s="17" t="str">
        <f t="shared" si="5"/>
        <v/>
      </c>
    </row>
    <row r="208" ht="15.75" customHeight="1">
      <c r="A208" s="18"/>
      <c r="B208" s="10"/>
      <c r="C208" s="15"/>
      <c r="D208" s="14"/>
      <c r="E208" s="15"/>
      <c r="F208" s="16"/>
      <c r="G208" s="15"/>
      <c r="H208" s="17" t="str">
        <f t="shared" si="5"/>
        <v/>
      </c>
    </row>
    <row r="209" ht="15.75" customHeight="1">
      <c r="A209" s="18"/>
      <c r="B209" s="10"/>
      <c r="C209" s="15"/>
      <c r="D209" s="14"/>
      <c r="E209" s="15"/>
      <c r="F209" s="16"/>
      <c r="G209" s="15"/>
      <c r="H209" s="17" t="str">
        <f t="shared" si="5"/>
        <v/>
      </c>
    </row>
    <row r="210" ht="15.75" customHeight="1">
      <c r="A210" s="18"/>
      <c r="B210" s="10"/>
      <c r="C210" s="15"/>
      <c r="D210" s="14"/>
      <c r="E210" s="15"/>
      <c r="F210" s="16"/>
      <c r="G210" s="15"/>
      <c r="H210" s="17" t="str">
        <f t="shared" si="5"/>
        <v/>
      </c>
    </row>
    <row r="211" ht="15.75" customHeight="1">
      <c r="A211" s="18"/>
      <c r="B211" s="10"/>
      <c r="C211" s="15"/>
      <c r="D211" s="14"/>
      <c r="E211" s="15"/>
      <c r="F211" s="16"/>
      <c r="G211" s="15"/>
      <c r="H211" s="17" t="str">
        <f t="shared" si="5"/>
        <v/>
      </c>
    </row>
    <row r="212" ht="15.75" customHeight="1">
      <c r="A212" s="18"/>
      <c r="B212" s="10"/>
      <c r="C212" s="15"/>
      <c r="D212" s="14"/>
      <c r="E212" s="15"/>
      <c r="F212" s="16"/>
      <c r="G212" s="15"/>
      <c r="H212" s="17" t="str">
        <f t="shared" si="5"/>
        <v/>
      </c>
    </row>
    <row r="213" ht="15.75" customHeight="1">
      <c r="A213" s="18"/>
      <c r="B213" s="10"/>
      <c r="C213" s="15"/>
      <c r="D213" s="14"/>
      <c r="E213" s="15"/>
      <c r="F213" s="16"/>
      <c r="G213" s="15"/>
      <c r="H213" s="17" t="str">
        <f t="shared" si="5"/>
        <v/>
      </c>
    </row>
    <row r="214" ht="15.75" customHeight="1">
      <c r="A214" s="18"/>
      <c r="B214" s="10"/>
      <c r="C214" s="15"/>
      <c r="D214" s="14"/>
      <c r="E214" s="15"/>
      <c r="F214" s="16"/>
      <c r="G214" s="15"/>
      <c r="H214" s="17" t="str">
        <f t="shared" si="5"/>
        <v/>
      </c>
    </row>
    <row r="215" ht="15.75" customHeight="1">
      <c r="A215" s="18"/>
      <c r="B215" s="10"/>
      <c r="C215" s="15"/>
      <c r="D215" s="14"/>
      <c r="E215" s="15"/>
      <c r="F215" s="16"/>
      <c r="G215" s="15"/>
      <c r="H215" s="17" t="str">
        <f t="shared" si="5"/>
        <v/>
      </c>
    </row>
    <row r="216" ht="15.75" customHeight="1">
      <c r="A216" s="18"/>
      <c r="B216" s="10"/>
      <c r="C216" s="15"/>
      <c r="D216" s="14"/>
      <c r="E216" s="15"/>
      <c r="F216" s="16"/>
      <c r="G216" s="15"/>
      <c r="H216" s="17" t="str">
        <f t="shared" si="5"/>
        <v/>
      </c>
    </row>
    <row r="217" ht="15.75" customHeight="1">
      <c r="A217" s="18"/>
      <c r="B217" s="10"/>
      <c r="C217" s="15"/>
      <c r="D217" s="14"/>
      <c r="E217" s="15"/>
      <c r="F217" s="16"/>
      <c r="G217" s="15"/>
      <c r="H217" s="17" t="str">
        <f t="shared" si="5"/>
        <v/>
      </c>
    </row>
    <row r="218" ht="15.75" customHeight="1">
      <c r="A218" s="18"/>
      <c r="B218" s="10"/>
      <c r="C218" s="15"/>
      <c r="D218" s="14"/>
      <c r="E218" s="15"/>
      <c r="F218" s="16"/>
      <c r="G218" s="15"/>
      <c r="H218" s="17" t="str">
        <f t="shared" si="5"/>
        <v/>
      </c>
    </row>
    <row r="219" ht="15.75" customHeight="1">
      <c r="A219" s="18"/>
      <c r="B219" s="10"/>
      <c r="C219" s="15"/>
      <c r="D219" s="14"/>
      <c r="E219" s="15"/>
      <c r="F219" s="16"/>
      <c r="G219" s="15"/>
      <c r="H219" s="17" t="str">
        <f t="shared" si="5"/>
        <v/>
      </c>
    </row>
    <row r="220" ht="15.75" customHeight="1">
      <c r="A220" s="18"/>
      <c r="B220" s="10"/>
      <c r="C220" s="15"/>
      <c r="D220" s="14"/>
      <c r="E220" s="15"/>
      <c r="F220" s="16"/>
      <c r="G220" s="15"/>
      <c r="H220" s="17" t="str">
        <f t="shared" si="5"/>
        <v/>
      </c>
    </row>
    <row r="221" ht="15.75" customHeight="1">
      <c r="A221" s="18"/>
      <c r="B221" s="10"/>
      <c r="C221" s="15"/>
      <c r="D221" s="14"/>
      <c r="E221" s="15"/>
      <c r="F221" s="16"/>
      <c r="G221" s="15"/>
      <c r="H221" s="17" t="str">
        <f t="shared" si="5"/>
        <v/>
      </c>
    </row>
    <row r="222" ht="15.75" customHeight="1">
      <c r="A222" s="18"/>
      <c r="B222" s="10"/>
      <c r="C222" s="15"/>
      <c r="D222" s="14"/>
      <c r="E222" s="15"/>
      <c r="F222" s="16"/>
      <c r="G222" s="15"/>
      <c r="H222" s="17" t="str">
        <f t="shared" si="5"/>
        <v/>
      </c>
    </row>
    <row r="223" ht="15.75" customHeight="1">
      <c r="A223" s="18"/>
      <c r="B223" s="10"/>
      <c r="C223" s="15"/>
      <c r="D223" s="14"/>
      <c r="E223" s="15"/>
      <c r="F223" s="16"/>
      <c r="G223" s="15"/>
      <c r="H223" s="17" t="str">
        <f t="shared" si="5"/>
        <v/>
      </c>
    </row>
    <row r="224" ht="15.75" customHeight="1">
      <c r="A224" s="18"/>
      <c r="B224" s="10"/>
      <c r="C224" s="15"/>
      <c r="D224" s="14"/>
      <c r="E224" s="15"/>
      <c r="F224" s="16"/>
      <c r="G224" s="15"/>
      <c r="H224" s="17" t="str">
        <f t="shared" si="5"/>
        <v/>
      </c>
    </row>
    <row r="225" ht="15.75" customHeight="1">
      <c r="A225" s="18"/>
      <c r="B225" s="10"/>
      <c r="C225" s="15"/>
      <c r="D225" s="14"/>
      <c r="E225" s="15"/>
      <c r="F225" s="16"/>
      <c r="G225" s="15"/>
      <c r="H225" s="17" t="str">
        <f t="shared" si="5"/>
        <v/>
      </c>
    </row>
    <row r="226" ht="15.75" customHeight="1">
      <c r="A226" s="18"/>
      <c r="B226" s="10"/>
      <c r="C226" s="15"/>
      <c r="D226" s="14"/>
      <c r="E226" s="15"/>
      <c r="F226" s="16"/>
      <c r="G226" s="15"/>
      <c r="H226" s="17" t="str">
        <f t="shared" si="5"/>
        <v/>
      </c>
    </row>
    <row r="227" ht="15.75" customHeight="1">
      <c r="A227" s="18"/>
      <c r="B227" s="10"/>
      <c r="C227" s="15"/>
      <c r="D227" s="14"/>
      <c r="E227" s="15"/>
      <c r="F227" s="16"/>
      <c r="G227" s="15"/>
      <c r="H227" s="17" t="str">
        <f t="shared" si="5"/>
        <v/>
      </c>
    </row>
    <row r="228" ht="15.75" customHeight="1">
      <c r="A228" s="18"/>
      <c r="B228" s="10"/>
      <c r="C228" s="15"/>
      <c r="D228" s="14"/>
      <c r="E228" s="15"/>
      <c r="F228" s="16"/>
      <c r="G228" s="15"/>
      <c r="H228" s="17" t="str">
        <f t="shared" si="5"/>
        <v/>
      </c>
    </row>
    <row r="229" ht="15.75" customHeight="1">
      <c r="A229" s="18"/>
      <c r="B229" s="10"/>
      <c r="C229" s="15"/>
      <c r="D229" s="14"/>
      <c r="E229" s="15"/>
      <c r="F229" s="16"/>
      <c r="G229" s="15"/>
      <c r="H229" s="17" t="str">
        <f t="shared" si="5"/>
        <v/>
      </c>
    </row>
    <row r="230" ht="15.75" customHeight="1">
      <c r="A230" s="18"/>
      <c r="B230" s="10"/>
      <c r="C230" s="15"/>
      <c r="D230" s="14"/>
      <c r="E230" s="15"/>
      <c r="F230" s="16"/>
      <c r="G230" s="15"/>
      <c r="H230" s="17" t="str">
        <f t="shared" si="5"/>
        <v/>
      </c>
    </row>
    <row r="231" ht="15.75" customHeight="1">
      <c r="A231" s="18"/>
      <c r="B231" s="10"/>
      <c r="C231" s="15"/>
      <c r="D231" s="14"/>
      <c r="E231" s="15"/>
      <c r="F231" s="16"/>
      <c r="G231" s="15"/>
      <c r="H231" s="17" t="str">
        <f t="shared" si="5"/>
        <v/>
      </c>
    </row>
    <row r="232" ht="15.75" customHeight="1">
      <c r="A232" s="18"/>
      <c r="B232" s="10"/>
      <c r="C232" s="15"/>
      <c r="D232" s="14"/>
      <c r="E232" s="15"/>
      <c r="F232" s="16"/>
      <c r="G232" s="15"/>
      <c r="H232" s="17" t="str">
        <f t="shared" si="5"/>
        <v/>
      </c>
    </row>
    <row r="233" ht="15.75" customHeight="1">
      <c r="A233" s="25" t="s">
        <v>8</v>
      </c>
      <c r="B233" s="26"/>
      <c r="C233" s="26"/>
      <c r="D233" s="26"/>
      <c r="E233" s="27"/>
      <c r="F233" s="28">
        <f>COUNTA(A194:B232)</f>
        <v>0</v>
      </c>
      <c r="G233" s="29">
        <f>SUM(G194:G232)</f>
        <v>0</v>
      </c>
      <c r="H233" s="30"/>
    </row>
    <row r="234" ht="15.75" customHeight="1">
      <c r="A234" s="31" t="s">
        <v>9</v>
      </c>
      <c r="B234" s="32"/>
      <c r="C234" s="32"/>
      <c r="D234" s="32"/>
      <c r="E234" s="32"/>
      <c r="F234" s="32"/>
      <c r="G234" s="33">
        <f>3*F233</f>
        <v>0</v>
      </c>
      <c r="H234" s="1"/>
    </row>
    <row r="235" ht="15.75" customHeight="1">
      <c r="A235" s="34" t="s">
        <v>10</v>
      </c>
      <c r="B235" s="27"/>
      <c r="C235" s="27"/>
      <c r="D235" s="27"/>
      <c r="E235" s="27"/>
      <c r="F235" s="27"/>
      <c r="G235" s="35">
        <v>3.0</v>
      </c>
      <c r="H235" s="1"/>
    </row>
    <row r="236" ht="15.75" customHeight="1">
      <c r="A236" s="36" t="s">
        <v>11</v>
      </c>
      <c r="B236" s="37"/>
      <c r="C236" s="37"/>
      <c r="D236" s="37"/>
      <c r="E236" s="37"/>
      <c r="F236" s="38"/>
      <c r="G236" s="39" t="str">
        <f>G233/G234*G235</f>
        <v>#DIV/0!</v>
      </c>
      <c r="H236" s="1"/>
    </row>
    <row r="237" ht="15.75" customHeight="1">
      <c r="A237" s="34" t="s">
        <v>12</v>
      </c>
      <c r="B237" s="27"/>
      <c r="C237" s="27"/>
      <c r="D237" s="27"/>
      <c r="E237" s="27"/>
      <c r="F237" s="27"/>
      <c r="G237" s="40"/>
      <c r="H237" s="41"/>
    </row>
    <row r="238" ht="15.75" customHeight="1">
      <c r="A238" s="42"/>
      <c r="G238" s="43"/>
      <c r="H238" s="44"/>
    </row>
    <row r="239" ht="15.75" customHeight="1">
      <c r="A239" s="45"/>
      <c r="G239" s="43"/>
      <c r="H239" s="44"/>
    </row>
    <row r="240" ht="15.75" customHeight="1">
      <c r="A240" s="46"/>
      <c r="B240" s="47"/>
      <c r="C240" s="47"/>
      <c r="D240" s="47"/>
      <c r="E240" s="47"/>
      <c r="F240" s="47"/>
      <c r="G240" s="48"/>
      <c r="H240" s="44"/>
    </row>
    <row r="241" ht="15.75" customHeight="1">
      <c r="A241" s="9" t="s">
        <v>25</v>
      </c>
      <c r="B241" s="10"/>
      <c r="C241" s="11">
        <v>0.0</v>
      </c>
      <c r="D241" s="12">
        <v>1.0</v>
      </c>
      <c r="E241" s="11">
        <v>2.0</v>
      </c>
      <c r="F241" s="13">
        <v>3.0</v>
      </c>
      <c r="G241" s="11" t="s">
        <v>6</v>
      </c>
      <c r="H241" s="11" t="s">
        <v>7</v>
      </c>
    </row>
    <row r="242" ht="15.75" customHeight="1">
      <c r="A242" s="18"/>
      <c r="B242" s="10"/>
      <c r="C242" s="15"/>
      <c r="D242" s="14"/>
      <c r="E242" s="15"/>
      <c r="F242" s="16"/>
      <c r="G242" s="15"/>
      <c r="H242" s="17" t="str">
        <f t="shared" ref="H242:H280" si="6">IF(G242&gt;=2,"SI","")</f>
        <v/>
      </c>
    </row>
    <row r="243" ht="15.75" customHeight="1">
      <c r="A243" s="18"/>
      <c r="B243" s="10"/>
      <c r="C243" s="15"/>
      <c r="D243" s="14"/>
      <c r="E243" s="15"/>
      <c r="F243" s="16"/>
      <c r="G243" s="15"/>
      <c r="H243" s="17" t="str">
        <f t="shared" si="6"/>
        <v/>
      </c>
    </row>
    <row r="244" ht="15.75" customHeight="1">
      <c r="A244" s="18"/>
      <c r="B244" s="10"/>
      <c r="C244" s="15"/>
      <c r="D244" s="14"/>
      <c r="E244" s="15"/>
      <c r="F244" s="16"/>
      <c r="G244" s="15"/>
      <c r="H244" s="17" t="str">
        <f t="shared" si="6"/>
        <v/>
      </c>
    </row>
    <row r="245" ht="15.75" customHeight="1">
      <c r="A245" s="18"/>
      <c r="B245" s="10"/>
      <c r="C245" s="15"/>
      <c r="D245" s="14"/>
      <c r="E245" s="15"/>
      <c r="F245" s="16"/>
      <c r="G245" s="15"/>
      <c r="H245" s="17" t="str">
        <f t="shared" si="6"/>
        <v/>
      </c>
    </row>
    <row r="246" ht="15.75" customHeight="1">
      <c r="A246" s="18"/>
      <c r="B246" s="10"/>
      <c r="C246" s="15"/>
      <c r="D246" s="14"/>
      <c r="E246" s="15"/>
      <c r="F246" s="16"/>
      <c r="G246" s="15"/>
      <c r="H246" s="17" t="str">
        <f t="shared" si="6"/>
        <v/>
      </c>
    </row>
    <row r="247" ht="15.75" customHeight="1">
      <c r="A247" s="18"/>
      <c r="B247" s="10"/>
      <c r="C247" s="15"/>
      <c r="D247" s="14"/>
      <c r="E247" s="15"/>
      <c r="F247" s="16"/>
      <c r="G247" s="15"/>
      <c r="H247" s="17" t="str">
        <f t="shared" si="6"/>
        <v/>
      </c>
    </row>
    <row r="248" ht="15.75" customHeight="1">
      <c r="A248" s="18"/>
      <c r="B248" s="10"/>
      <c r="C248" s="15"/>
      <c r="D248" s="14"/>
      <c r="E248" s="15"/>
      <c r="F248" s="16"/>
      <c r="G248" s="15"/>
      <c r="H248" s="17" t="str">
        <f t="shared" si="6"/>
        <v/>
      </c>
    </row>
    <row r="249" ht="15.75" customHeight="1">
      <c r="A249" s="18"/>
      <c r="B249" s="10"/>
      <c r="C249" s="15"/>
      <c r="D249" s="14"/>
      <c r="E249" s="15"/>
      <c r="F249" s="16"/>
      <c r="G249" s="15"/>
      <c r="H249" s="17" t="str">
        <f t="shared" si="6"/>
        <v/>
      </c>
    </row>
    <row r="250" ht="15.75" customHeight="1">
      <c r="A250" s="18"/>
      <c r="B250" s="10"/>
      <c r="C250" s="15"/>
      <c r="D250" s="14"/>
      <c r="E250" s="15"/>
      <c r="F250" s="16"/>
      <c r="G250" s="15"/>
      <c r="H250" s="17" t="str">
        <f t="shared" si="6"/>
        <v/>
      </c>
    </row>
    <row r="251" ht="15.75" customHeight="1">
      <c r="A251" s="18"/>
      <c r="B251" s="10"/>
      <c r="C251" s="15"/>
      <c r="D251" s="14"/>
      <c r="E251" s="15"/>
      <c r="F251" s="16"/>
      <c r="G251" s="15"/>
      <c r="H251" s="17" t="str">
        <f t="shared" si="6"/>
        <v/>
      </c>
    </row>
    <row r="252" ht="15.75" customHeight="1">
      <c r="A252" s="18"/>
      <c r="B252" s="10"/>
      <c r="C252" s="15"/>
      <c r="D252" s="14"/>
      <c r="E252" s="15"/>
      <c r="F252" s="16"/>
      <c r="G252" s="15"/>
      <c r="H252" s="17" t="str">
        <f t="shared" si="6"/>
        <v/>
      </c>
    </row>
    <row r="253" ht="15.75" customHeight="1">
      <c r="A253" s="18"/>
      <c r="B253" s="10"/>
      <c r="C253" s="15"/>
      <c r="D253" s="14"/>
      <c r="E253" s="15"/>
      <c r="F253" s="16"/>
      <c r="G253" s="15"/>
      <c r="H253" s="17" t="str">
        <f t="shared" si="6"/>
        <v/>
      </c>
    </row>
    <row r="254" ht="15.75" customHeight="1">
      <c r="A254" s="18"/>
      <c r="B254" s="10"/>
      <c r="C254" s="15"/>
      <c r="D254" s="14"/>
      <c r="E254" s="15"/>
      <c r="F254" s="16"/>
      <c r="G254" s="15"/>
      <c r="H254" s="17" t="str">
        <f t="shared" si="6"/>
        <v/>
      </c>
    </row>
    <row r="255" ht="15.75" customHeight="1">
      <c r="A255" s="18"/>
      <c r="B255" s="10"/>
      <c r="C255" s="15"/>
      <c r="D255" s="14"/>
      <c r="E255" s="15"/>
      <c r="F255" s="16"/>
      <c r="G255" s="15"/>
      <c r="H255" s="17" t="str">
        <f t="shared" si="6"/>
        <v/>
      </c>
    </row>
    <row r="256" ht="15.75" customHeight="1">
      <c r="A256" s="18"/>
      <c r="B256" s="10"/>
      <c r="C256" s="15"/>
      <c r="D256" s="14"/>
      <c r="E256" s="15"/>
      <c r="F256" s="16"/>
      <c r="G256" s="15"/>
      <c r="H256" s="17" t="str">
        <f t="shared" si="6"/>
        <v/>
      </c>
    </row>
    <row r="257" ht="15.75" customHeight="1">
      <c r="A257" s="18"/>
      <c r="B257" s="10"/>
      <c r="C257" s="15"/>
      <c r="D257" s="14"/>
      <c r="E257" s="15"/>
      <c r="F257" s="16"/>
      <c r="G257" s="15"/>
      <c r="H257" s="17" t="str">
        <f t="shared" si="6"/>
        <v/>
      </c>
    </row>
    <row r="258" ht="15.75" customHeight="1">
      <c r="A258" s="18"/>
      <c r="B258" s="10"/>
      <c r="C258" s="15"/>
      <c r="D258" s="14"/>
      <c r="E258" s="15"/>
      <c r="F258" s="16"/>
      <c r="G258" s="15"/>
      <c r="H258" s="17" t="str">
        <f t="shared" si="6"/>
        <v/>
      </c>
    </row>
    <row r="259" ht="15.75" customHeight="1">
      <c r="A259" s="18"/>
      <c r="B259" s="10"/>
      <c r="C259" s="15"/>
      <c r="D259" s="14"/>
      <c r="E259" s="15"/>
      <c r="F259" s="16"/>
      <c r="G259" s="15"/>
      <c r="H259" s="17" t="str">
        <f t="shared" si="6"/>
        <v/>
      </c>
    </row>
    <row r="260" ht="15.75" customHeight="1">
      <c r="A260" s="18"/>
      <c r="B260" s="10"/>
      <c r="C260" s="15"/>
      <c r="D260" s="14"/>
      <c r="E260" s="15"/>
      <c r="F260" s="16"/>
      <c r="G260" s="15"/>
      <c r="H260" s="17" t="str">
        <f t="shared" si="6"/>
        <v/>
      </c>
    </row>
    <row r="261" ht="15.75" customHeight="1">
      <c r="A261" s="18"/>
      <c r="B261" s="10"/>
      <c r="C261" s="15"/>
      <c r="D261" s="14"/>
      <c r="E261" s="15"/>
      <c r="F261" s="16"/>
      <c r="G261" s="15"/>
      <c r="H261" s="17" t="str">
        <f t="shared" si="6"/>
        <v/>
      </c>
    </row>
    <row r="262" ht="15.75" customHeight="1">
      <c r="A262" s="18"/>
      <c r="B262" s="10"/>
      <c r="C262" s="15"/>
      <c r="D262" s="14"/>
      <c r="E262" s="15"/>
      <c r="F262" s="16"/>
      <c r="G262" s="15"/>
      <c r="H262" s="17" t="str">
        <f t="shared" si="6"/>
        <v/>
      </c>
    </row>
    <row r="263" ht="15.75" customHeight="1">
      <c r="A263" s="18"/>
      <c r="B263" s="10"/>
      <c r="C263" s="15"/>
      <c r="D263" s="14"/>
      <c r="E263" s="15"/>
      <c r="F263" s="16"/>
      <c r="G263" s="15"/>
      <c r="H263" s="17" t="str">
        <f t="shared" si="6"/>
        <v/>
      </c>
    </row>
    <row r="264" ht="15.75" customHeight="1">
      <c r="A264" s="18"/>
      <c r="B264" s="10"/>
      <c r="C264" s="15"/>
      <c r="D264" s="14"/>
      <c r="E264" s="15"/>
      <c r="F264" s="16"/>
      <c r="G264" s="15"/>
      <c r="H264" s="17" t="str">
        <f t="shared" si="6"/>
        <v/>
      </c>
    </row>
    <row r="265" ht="15.75" customHeight="1">
      <c r="A265" s="18"/>
      <c r="B265" s="10"/>
      <c r="C265" s="15"/>
      <c r="D265" s="14"/>
      <c r="E265" s="15"/>
      <c r="F265" s="16"/>
      <c r="G265" s="15"/>
      <c r="H265" s="17" t="str">
        <f t="shared" si="6"/>
        <v/>
      </c>
    </row>
    <row r="266" ht="15.75" customHeight="1">
      <c r="A266" s="18"/>
      <c r="B266" s="10"/>
      <c r="C266" s="15"/>
      <c r="D266" s="14"/>
      <c r="E266" s="15"/>
      <c r="F266" s="16"/>
      <c r="G266" s="15"/>
      <c r="H266" s="17" t="str">
        <f t="shared" si="6"/>
        <v/>
      </c>
    </row>
    <row r="267" ht="15.75" customHeight="1">
      <c r="A267" s="18"/>
      <c r="B267" s="10"/>
      <c r="C267" s="15"/>
      <c r="D267" s="14"/>
      <c r="E267" s="15"/>
      <c r="F267" s="16"/>
      <c r="G267" s="15"/>
      <c r="H267" s="17" t="str">
        <f t="shared" si="6"/>
        <v/>
      </c>
    </row>
    <row r="268" ht="15.75" customHeight="1">
      <c r="A268" s="18"/>
      <c r="B268" s="10"/>
      <c r="C268" s="15"/>
      <c r="D268" s="14"/>
      <c r="E268" s="15"/>
      <c r="F268" s="16"/>
      <c r="G268" s="15"/>
      <c r="H268" s="17" t="str">
        <f t="shared" si="6"/>
        <v/>
      </c>
    </row>
    <row r="269" ht="15.75" customHeight="1">
      <c r="A269" s="18"/>
      <c r="B269" s="10"/>
      <c r="C269" s="15"/>
      <c r="D269" s="14"/>
      <c r="E269" s="15"/>
      <c r="F269" s="16"/>
      <c r="G269" s="15"/>
      <c r="H269" s="17" t="str">
        <f t="shared" si="6"/>
        <v/>
      </c>
    </row>
    <row r="270" ht="15.75" customHeight="1">
      <c r="A270" s="18"/>
      <c r="B270" s="10"/>
      <c r="C270" s="15"/>
      <c r="D270" s="14"/>
      <c r="E270" s="15"/>
      <c r="F270" s="16"/>
      <c r="G270" s="15"/>
      <c r="H270" s="17" t="str">
        <f t="shared" si="6"/>
        <v/>
      </c>
    </row>
    <row r="271" ht="15.75" customHeight="1">
      <c r="A271" s="18"/>
      <c r="B271" s="10"/>
      <c r="C271" s="15"/>
      <c r="D271" s="14"/>
      <c r="E271" s="15"/>
      <c r="F271" s="16"/>
      <c r="G271" s="15"/>
      <c r="H271" s="17" t="str">
        <f t="shared" si="6"/>
        <v/>
      </c>
    </row>
    <row r="272" ht="15.75" customHeight="1">
      <c r="A272" s="18"/>
      <c r="B272" s="10"/>
      <c r="C272" s="15"/>
      <c r="D272" s="14"/>
      <c r="E272" s="15"/>
      <c r="F272" s="16"/>
      <c r="G272" s="15"/>
      <c r="H272" s="17" t="str">
        <f t="shared" si="6"/>
        <v/>
      </c>
    </row>
    <row r="273" ht="15.75" customHeight="1">
      <c r="A273" s="18"/>
      <c r="B273" s="10"/>
      <c r="C273" s="15"/>
      <c r="D273" s="14"/>
      <c r="E273" s="15"/>
      <c r="F273" s="16"/>
      <c r="G273" s="15"/>
      <c r="H273" s="17" t="str">
        <f t="shared" si="6"/>
        <v/>
      </c>
    </row>
    <row r="274" ht="15.75" customHeight="1">
      <c r="A274" s="18"/>
      <c r="B274" s="10"/>
      <c r="C274" s="15"/>
      <c r="D274" s="14"/>
      <c r="E274" s="15"/>
      <c r="F274" s="16"/>
      <c r="G274" s="15"/>
      <c r="H274" s="17" t="str">
        <f t="shared" si="6"/>
        <v/>
      </c>
    </row>
    <row r="275" ht="15.75" customHeight="1">
      <c r="A275" s="18"/>
      <c r="B275" s="10"/>
      <c r="C275" s="15"/>
      <c r="D275" s="14"/>
      <c r="E275" s="15"/>
      <c r="F275" s="16"/>
      <c r="G275" s="15"/>
      <c r="H275" s="17" t="str">
        <f t="shared" si="6"/>
        <v/>
      </c>
    </row>
    <row r="276" ht="15.75" customHeight="1">
      <c r="A276" s="18"/>
      <c r="B276" s="10"/>
      <c r="C276" s="15"/>
      <c r="D276" s="14"/>
      <c r="E276" s="15"/>
      <c r="F276" s="16"/>
      <c r="G276" s="15"/>
      <c r="H276" s="17" t="str">
        <f t="shared" si="6"/>
        <v/>
      </c>
    </row>
    <row r="277" ht="15.75" customHeight="1">
      <c r="A277" s="18"/>
      <c r="B277" s="10"/>
      <c r="C277" s="15"/>
      <c r="D277" s="14"/>
      <c r="E277" s="15"/>
      <c r="F277" s="16"/>
      <c r="G277" s="15"/>
      <c r="H277" s="17" t="str">
        <f t="shared" si="6"/>
        <v/>
      </c>
    </row>
    <row r="278" ht="15.75" customHeight="1">
      <c r="A278" s="18"/>
      <c r="B278" s="10"/>
      <c r="C278" s="15"/>
      <c r="D278" s="14"/>
      <c r="E278" s="15"/>
      <c r="F278" s="16"/>
      <c r="G278" s="15"/>
      <c r="H278" s="17" t="str">
        <f t="shared" si="6"/>
        <v/>
      </c>
    </row>
    <row r="279" ht="15.75" customHeight="1">
      <c r="A279" s="18"/>
      <c r="B279" s="10"/>
      <c r="C279" s="15"/>
      <c r="D279" s="14"/>
      <c r="E279" s="15"/>
      <c r="F279" s="16"/>
      <c r="G279" s="15"/>
      <c r="H279" s="17" t="str">
        <f t="shared" si="6"/>
        <v/>
      </c>
    </row>
    <row r="280" ht="15.75" customHeight="1">
      <c r="A280" s="18"/>
      <c r="B280" s="10"/>
      <c r="C280" s="15"/>
      <c r="D280" s="14"/>
      <c r="E280" s="15"/>
      <c r="F280" s="16"/>
      <c r="G280" s="15"/>
      <c r="H280" s="17" t="str">
        <f t="shared" si="6"/>
        <v/>
      </c>
    </row>
    <row r="281" ht="15.75" customHeight="1">
      <c r="A281" s="25" t="s">
        <v>8</v>
      </c>
      <c r="B281" s="26"/>
      <c r="C281" s="26"/>
      <c r="D281" s="26"/>
      <c r="E281" s="27"/>
      <c r="F281" s="28">
        <f>COUNTA(A242:B280)</f>
        <v>0</v>
      </c>
      <c r="G281" s="29">
        <f>SUM(G242:G280)</f>
        <v>0</v>
      </c>
      <c r="H281" s="30"/>
    </row>
    <row r="282" ht="15.75" customHeight="1">
      <c r="A282" s="31" t="s">
        <v>9</v>
      </c>
      <c r="B282" s="32"/>
      <c r="C282" s="32"/>
      <c r="D282" s="32"/>
      <c r="E282" s="32"/>
      <c r="F282" s="32"/>
      <c r="G282" s="33">
        <f>3*F281</f>
        <v>0</v>
      </c>
      <c r="H282" s="1"/>
    </row>
    <row r="283" ht="15.75" customHeight="1">
      <c r="A283" s="34" t="s">
        <v>10</v>
      </c>
      <c r="B283" s="27"/>
      <c r="C283" s="27"/>
      <c r="D283" s="27"/>
      <c r="E283" s="27"/>
      <c r="F283" s="27"/>
      <c r="G283" s="35">
        <v>3.0</v>
      </c>
      <c r="H283" s="1"/>
    </row>
    <row r="284" ht="15.75" customHeight="1">
      <c r="A284" s="36" t="s">
        <v>11</v>
      </c>
      <c r="B284" s="37"/>
      <c r="C284" s="37"/>
      <c r="D284" s="37"/>
      <c r="E284" s="37"/>
      <c r="F284" s="38"/>
      <c r="G284" s="39" t="str">
        <f>G281/G282*G283</f>
        <v>#DIV/0!</v>
      </c>
      <c r="H284" s="1"/>
    </row>
    <row r="285" ht="15.75" customHeight="1">
      <c r="A285" s="34" t="s">
        <v>12</v>
      </c>
      <c r="B285" s="27"/>
      <c r="C285" s="27"/>
      <c r="D285" s="27"/>
      <c r="E285" s="27"/>
      <c r="F285" s="27"/>
      <c r="G285" s="40"/>
      <c r="H285" s="41"/>
    </row>
    <row r="286" ht="15.75" customHeight="1">
      <c r="A286" s="42"/>
      <c r="G286" s="43"/>
      <c r="H286" s="44"/>
    </row>
    <row r="287" ht="15.75" customHeight="1">
      <c r="A287" s="45"/>
      <c r="G287" s="43"/>
      <c r="H287" s="44"/>
    </row>
    <row r="288" ht="15.75" customHeight="1">
      <c r="A288" s="46"/>
      <c r="B288" s="47"/>
      <c r="C288" s="47"/>
      <c r="D288" s="47"/>
      <c r="E288" s="47"/>
      <c r="F288" s="47"/>
      <c r="G288" s="48"/>
      <c r="H288" s="44"/>
    </row>
    <row r="289" ht="15.75" customHeight="1">
      <c r="A289" s="9" t="s">
        <v>26</v>
      </c>
      <c r="B289" s="10"/>
      <c r="C289" s="11">
        <v>0.0</v>
      </c>
      <c r="D289" s="12">
        <v>1.0</v>
      </c>
      <c r="E289" s="11">
        <v>2.0</v>
      </c>
      <c r="F289" s="13">
        <v>3.0</v>
      </c>
      <c r="G289" s="11" t="s">
        <v>6</v>
      </c>
      <c r="H289" s="11" t="s">
        <v>7</v>
      </c>
    </row>
    <row r="290" ht="15.75" customHeight="1">
      <c r="A290" s="49" t="s">
        <v>27</v>
      </c>
      <c r="B290" s="10"/>
      <c r="C290" s="15"/>
      <c r="D290" s="14"/>
      <c r="E290" s="15"/>
      <c r="F290" s="16"/>
      <c r="G290" s="15">
        <v>1.0</v>
      </c>
      <c r="H290" s="17" t="str">
        <f t="shared" ref="H290:H328" si="7">IF(G290&gt;=2,"SI","")</f>
        <v/>
      </c>
    </row>
    <row r="291" ht="15.75" customHeight="1">
      <c r="A291" s="49" t="s">
        <v>28</v>
      </c>
      <c r="B291" s="10"/>
      <c r="C291" s="15"/>
      <c r="D291" s="14"/>
      <c r="E291" s="15"/>
      <c r="F291" s="16"/>
      <c r="G291" s="15">
        <v>1.0</v>
      </c>
      <c r="H291" s="17" t="str">
        <f t="shared" si="7"/>
        <v/>
      </c>
    </row>
    <row r="292" ht="15.75" customHeight="1">
      <c r="A292" s="18"/>
      <c r="B292" s="10"/>
      <c r="C292" s="15"/>
      <c r="D292" s="14"/>
      <c r="E292" s="15"/>
      <c r="F292" s="16"/>
      <c r="G292" s="15"/>
      <c r="H292" s="17" t="str">
        <f t="shared" si="7"/>
        <v/>
      </c>
    </row>
    <row r="293" ht="15.75" customHeight="1">
      <c r="A293" s="18"/>
      <c r="B293" s="10"/>
      <c r="C293" s="15"/>
      <c r="D293" s="14"/>
      <c r="E293" s="15"/>
      <c r="F293" s="16"/>
      <c r="G293" s="15"/>
      <c r="H293" s="17" t="str">
        <f t="shared" si="7"/>
        <v/>
      </c>
    </row>
    <row r="294" ht="15.75" customHeight="1">
      <c r="A294" s="18"/>
      <c r="B294" s="10"/>
      <c r="C294" s="15"/>
      <c r="D294" s="14"/>
      <c r="E294" s="15"/>
      <c r="F294" s="16"/>
      <c r="G294" s="15"/>
      <c r="H294" s="17" t="str">
        <f t="shared" si="7"/>
        <v/>
      </c>
    </row>
    <row r="295" ht="15.75" customHeight="1">
      <c r="A295" s="18"/>
      <c r="B295" s="10"/>
      <c r="C295" s="15"/>
      <c r="D295" s="14"/>
      <c r="E295" s="15"/>
      <c r="F295" s="16"/>
      <c r="G295" s="15"/>
      <c r="H295" s="17" t="str">
        <f t="shared" si="7"/>
        <v/>
      </c>
    </row>
    <row r="296" ht="15.75" customHeight="1">
      <c r="A296" s="18"/>
      <c r="B296" s="10"/>
      <c r="C296" s="15"/>
      <c r="D296" s="14"/>
      <c r="E296" s="15"/>
      <c r="F296" s="16"/>
      <c r="G296" s="15"/>
      <c r="H296" s="17" t="str">
        <f t="shared" si="7"/>
        <v/>
      </c>
    </row>
    <row r="297" ht="15.75" customHeight="1">
      <c r="A297" s="18"/>
      <c r="B297" s="10"/>
      <c r="C297" s="15"/>
      <c r="D297" s="14"/>
      <c r="E297" s="15"/>
      <c r="F297" s="16"/>
      <c r="G297" s="15"/>
      <c r="H297" s="17" t="str">
        <f t="shared" si="7"/>
        <v/>
      </c>
    </row>
    <row r="298" ht="15.75" customHeight="1">
      <c r="A298" s="18"/>
      <c r="B298" s="10"/>
      <c r="C298" s="15"/>
      <c r="D298" s="14"/>
      <c r="E298" s="15"/>
      <c r="F298" s="16"/>
      <c r="G298" s="15"/>
      <c r="H298" s="17" t="str">
        <f t="shared" si="7"/>
        <v/>
      </c>
    </row>
    <row r="299" ht="15.75" customHeight="1">
      <c r="A299" s="18"/>
      <c r="B299" s="10"/>
      <c r="C299" s="15"/>
      <c r="D299" s="14"/>
      <c r="E299" s="15"/>
      <c r="F299" s="16"/>
      <c r="G299" s="15"/>
      <c r="H299" s="17" t="str">
        <f t="shared" si="7"/>
        <v/>
      </c>
    </row>
    <row r="300" ht="15.75" customHeight="1">
      <c r="A300" s="18"/>
      <c r="B300" s="10"/>
      <c r="C300" s="15"/>
      <c r="D300" s="14"/>
      <c r="E300" s="15"/>
      <c r="F300" s="16"/>
      <c r="G300" s="15"/>
      <c r="H300" s="17" t="str">
        <f t="shared" si="7"/>
        <v/>
      </c>
    </row>
    <row r="301" ht="15.75" customHeight="1">
      <c r="A301" s="18"/>
      <c r="B301" s="10"/>
      <c r="C301" s="15"/>
      <c r="D301" s="14"/>
      <c r="E301" s="15"/>
      <c r="F301" s="16"/>
      <c r="G301" s="15"/>
      <c r="H301" s="17" t="str">
        <f t="shared" si="7"/>
        <v/>
      </c>
    </row>
    <row r="302" ht="15.75" customHeight="1">
      <c r="A302" s="18"/>
      <c r="B302" s="10"/>
      <c r="C302" s="15"/>
      <c r="D302" s="14"/>
      <c r="E302" s="15"/>
      <c r="F302" s="16"/>
      <c r="G302" s="15"/>
      <c r="H302" s="17" t="str">
        <f t="shared" si="7"/>
        <v/>
      </c>
    </row>
    <row r="303" ht="15.75" customHeight="1">
      <c r="A303" s="18"/>
      <c r="B303" s="10"/>
      <c r="C303" s="15"/>
      <c r="D303" s="14"/>
      <c r="E303" s="15"/>
      <c r="F303" s="16"/>
      <c r="G303" s="15"/>
      <c r="H303" s="17" t="str">
        <f t="shared" si="7"/>
        <v/>
      </c>
    </row>
    <row r="304" ht="15.75" customHeight="1">
      <c r="A304" s="18"/>
      <c r="B304" s="10"/>
      <c r="C304" s="15"/>
      <c r="D304" s="14"/>
      <c r="E304" s="15"/>
      <c r="F304" s="16"/>
      <c r="G304" s="15"/>
      <c r="H304" s="17" t="str">
        <f t="shared" si="7"/>
        <v/>
      </c>
    </row>
    <row r="305" ht="15.75" customHeight="1">
      <c r="A305" s="18"/>
      <c r="B305" s="10"/>
      <c r="C305" s="15"/>
      <c r="D305" s="14"/>
      <c r="E305" s="15"/>
      <c r="F305" s="16"/>
      <c r="G305" s="15"/>
      <c r="H305" s="17" t="str">
        <f t="shared" si="7"/>
        <v/>
      </c>
    </row>
    <row r="306" ht="15.75" customHeight="1">
      <c r="A306" s="18"/>
      <c r="B306" s="10"/>
      <c r="C306" s="15"/>
      <c r="D306" s="14"/>
      <c r="E306" s="15"/>
      <c r="F306" s="16"/>
      <c r="G306" s="15"/>
      <c r="H306" s="17" t="str">
        <f t="shared" si="7"/>
        <v/>
      </c>
    </row>
    <row r="307" ht="15.75" customHeight="1">
      <c r="A307" s="18"/>
      <c r="B307" s="10"/>
      <c r="C307" s="15"/>
      <c r="D307" s="14"/>
      <c r="E307" s="15"/>
      <c r="F307" s="16"/>
      <c r="G307" s="15"/>
      <c r="H307" s="17" t="str">
        <f t="shared" si="7"/>
        <v/>
      </c>
    </row>
    <row r="308" ht="15.75" customHeight="1">
      <c r="A308" s="18"/>
      <c r="B308" s="10"/>
      <c r="C308" s="15"/>
      <c r="D308" s="14"/>
      <c r="E308" s="15"/>
      <c r="F308" s="16"/>
      <c r="G308" s="15"/>
      <c r="H308" s="17" t="str">
        <f t="shared" si="7"/>
        <v/>
      </c>
    </row>
    <row r="309" ht="15.75" customHeight="1">
      <c r="A309" s="18"/>
      <c r="B309" s="10"/>
      <c r="C309" s="15"/>
      <c r="D309" s="14"/>
      <c r="E309" s="15"/>
      <c r="F309" s="16"/>
      <c r="G309" s="15"/>
      <c r="H309" s="17" t="str">
        <f t="shared" si="7"/>
        <v/>
      </c>
    </row>
    <row r="310" ht="15.75" customHeight="1">
      <c r="A310" s="18"/>
      <c r="B310" s="10"/>
      <c r="C310" s="15"/>
      <c r="D310" s="14"/>
      <c r="E310" s="15"/>
      <c r="F310" s="16"/>
      <c r="G310" s="15"/>
      <c r="H310" s="17" t="str">
        <f t="shared" si="7"/>
        <v/>
      </c>
    </row>
    <row r="311" ht="15.75" customHeight="1">
      <c r="A311" s="18"/>
      <c r="B311" s="10"/>
      <c r="C311" s="15"/>
      <c r="D311" s="14"/>
      <c r="E311" s="15"/>
      <c r="F311" s="16"/>
      <c r="G311" s="15"/>
      <c r="H311" s="17" t="str">
        <f t="shared" si="7"/>
        <v/>
      </c>
    </row>
    <row r="312" ht="15.75" customHeight="1">
      <c r="A312" s="18"/>
      <c r="B312" s="10"/>
      <c r="C312" s="15"/>
      <c r="D312" s="14"/>
      <c r="E312" s="15"/>
      <c r="F312" s="16"/>
      <c r="G312" s="15"/>
      <c r="H312" s="17" t="str">
        <f t="shared" si="7"/>
        <v/>
      </c>
    </row>
    <row r="313" ht="15.75" customHeight="1">
      <c r="A313" s="18"/>
      <c r="B313" s="10"/>
      <c r="C313" s="15"/>
      <c r="D313" s="14"/>
      <c r="E313" s="15"/>
      <c r="F313" s="16"/>
      <c r="G313" s="15"/>
      <c r="H313" s="17" t="str">
        <f t="shared" si="7"/>
        <v/>
      </c>
    </row>
    <row r="314" ht="15.75" customHeight="1">
      <c r="A314" s="18"/>
      <c r="B314" s="10"/>
      <c r="C314" s="15"/>
      <c r="D314" s="14"/>
      <c r="E314" s="15"/>
      <c r="F314" s="16"/>
      <c r="G314" s="15"/>
      <c r="H314" s="17" t="str">
        <f t="shared" si="7"/>
        <v/>
      </c>
    </row>
    <row r="315" ht="15.75" customHeight="1">
      <c r="A315" s="18"/>
      <c r="B315" s="10"/>
      <c r="C315" s="15"/>
      <c r="D315" s="14"/>
      <c r="E315" s="15"/>
      <c r="F315" s="16"/>
      <c r="G315" s="15"/>
      <c r="H315" s="17" t="str">
        <f t="shared" si="7"/>
        <v/>
      </c>
    </row>
    <row r="316" ht="15.75" customHeight="1">
      <c r="A316" s="18"/>
      <c r="B316" s="10"/>
      <c r="C316" s="15"/>
      <c r="D316" s="14"/>
      <c r="E316" s="15"/>
      <c r="F316" s="16"/>
      <c r="G316" s="15"/>
      <c r="H316" s="17" t="str">
        <f t="shared" si="7"/>
        <v/>
      </c>
    </row>
    <row r="317" ht="15.75" customHeight="1">
      <c r="A317" s="18"/>
      <c r="B317" s="10"/>
      <c r="C317" s="15"/>
      <c r="D317" s="14"/>
      <c r="E317" s="15"/>
      <c r="F317" s="16"/>
      <c r="G317" s="15"/>
      <c r="H317" s="17" t="str">
        <f t="shared" si="7"/>
        <v/>
      </c>
    </row>
    <row r="318" ht="15.75" customHeight="1">
      <c r="A318" s="18"/>
      <c r="B318" s="10"/>
      <c r="C318" s="15"/>
      <c r="D318" s="14"/>
      <c r="E318" s="15"/>
      <c r="F318" s="16"/>
      <c r="G318" s="15"/>
      <c r="H318" s="17" t="str">
        <f t="shared" si="7"/>
        <v/>
      </c>
    </row>
    <row r="319" ht="15.75" customHeight="1">
      <c r="A319" s="18"/>
      <c r="B319" s="10"/>
      <c r="C319" s="15"/>
      <c r="D319" s="14"/>
      <c r="E319" s="15"/>
      <c r="F319" s="16"/>
      <c r="G319" s="15"/>
      <c r="H319" s="17" t="str">
        <f t="shared" si="7"/>
        <v/>
      </c>
    </row>
    <row r="320" ht="15.75" customHeight="1">
      <c r="A320" s="18"/>
      <c r="B320" s="10"/>
      <c r="C320" s="15"/>
      <c r="D320" s="14"/>
      <c r="E320" s="15"/>
      <c r="F320" s="16"/>
      <c r="G320" s="15"/>
      <c r="H320" s="17" t="str">
        <f t="shared" si="7"/>
        <v/>
      </c>
    </row>
    <row r="321" ht="15.75" customHeight="1">
      <c r="A321" s="18"/>
      <c r="B321" s="10"/>
      <c r="C321" s="15"/>
      <c r="D321" s="14"/>
      <c r="E321" s="15"/>
      <c r="F321" s="16"/>
      <c r="G321" s="15"/>
      <c r="H321" s="17" t="str">
        <f t="shared" si="7"/>
        <v/>
      </c>
    </row>
    <row r="322" ht="15.75" customHeight="1">
      <c r="A322" s="18"/>
      <c r="B322" s="10"/>
      <c r="C322" s="15"/>
      <c r="D322" s="14"/>
      <c r="E322" s="15"/>
      <c r="F322" s="16"/>
      <c r="G322" s="15"/>
      <c r="H322" s="17" t="str">
        <f t="shared" si="7"/>
        <v/>
      </c>
    </row>
    <row r="323" ht="15.75" customHeight="1">
      <c r="A323" s="18"/>
      <c r="B323" s="10"/>
      <c r="C323" s="15"/>
      <c r="D323" s="14"/>
      <c r="E323" s="15"/>
      <c r="F323" s="16"/>
      <c r="G323" s="15"/>
      <c r="H323" s="17" t="str">
        <f t="shared" si="7"/>
        <v/>
      </c>
    </row>
    <row r="324" ht="15.75" customHeight="1">
      <c r="A324" s="18"/>
      <c r="B324" s="10"/>
      <c r="C324" s="15"/>
      <c r="D324" s="14"/>
      <c r="E324" s="15"/>
      <c r="F324" s="16"/>
      <c r="G324" s="15"/>
      <c r="H324" s="17" t="str">
        <f t="shared" si="7"/>
        <v/>
      </c>
    </row>
    <row r="325" ht="15.75" customHeight="1">
      <c r="A325" s="18"/>
      <c r="B325" s="10"/>
      <c r="C325" s="15"/>
      <c r="D325" s="14"/>
      <c r="E325" s="15"/>
      <c r="F325" s="16"/>
      <c r="G325" s="15"/>
      <c r="H325" s="17" t="str">
        <f t="shared" si="7"/>
        <v/>
      </c>
    </row>
    <row r="326" ht="15.75" customHeight="1">
      <c r="A326" s="18"/>
      <c r="B326" s="10"/>
      <c r="C326" s="15"/>
      <c r="D326" s="14"/>
      <c r="E326" s="15"/>
      <c r="F326" s="16"/>
      <c r="G326" s="15"/>
      <c r="H326" s="17" t="str">
        <f t="shared" si="7"/>
        <v/>
      </c>
    </row>
    <row r="327" ht="15.75" customHeight="1">
      <c r="A327" s="18"/>
      <c r="B327" s="10"/>
      <c r="C327" s="15"/>
      <c r="D327" s="14"/>
      <c r="E327" s="15"/>
      <c r="F327" s="16"/>
      <c r="G327" s="15"/>
      <c r="H327" s="17" t="str">
        <f t="shared" si="7"/>
        <v/>
      </c>
    </row>
    <row r="328" ht="15.75" customHeight="1">
      <c r="A328" s="18"/>
      <c r="B328" s="10"/>
      <c r="C328" s="15"/>
      <c r="D328" s="14"/>
      <c r="E328" s="15"/>
      <c r="F328" s="16"/>
      <c r="G328" s="15"/>
      <c r="H328" s="17" t="str">
        <f t="shared" si="7"/>
        <v/>
      </c>
    </row>
    <row r="329" ht="15.75" customHeight="1">
      <c r="A329" s="25" t="s">
        <v>8</v>
      </c>
      <c r="B329" s="26"/>
      <c r="C329" s="26"/>
      <c r="D329" s="26"/>
      <c r="E329" s="27"/>
      <c r="F329" s="28">
        <f>COUNTA(A290:B328)</f>
        <v>2</v>
      </c>
      <c r="G329" s="29">
        <f>SUM(G290:G328)</f>
        <v>2</v>
      </c>
      <c r="H329" s="30"/>
    </row>
    <row r="330" ht="15.75" customHeight="1">
      <c r="A330" s="31" t="s">
        <v>9</v>
      </c>
      <c r="B330" s="32"/>
      <c r="C330" s="32"/>
      <c r="D330" s="32"/>
      <c r="E330" s="32"/>
      <c r="F330" s="32"/>
      <c r="G330" s="33">
        <f>3*F329</f>
        <v>6</v>
      </c>
      <c r="H330" s="1"/>
    </row>
    <row r="331" ht="15.75" customHeight="1">
      <c r="A331" s="34" t="s">
        <v>10</v>
      </c>
      <c r="B331" s="27"/>
      <c r="C331" s="27"/>
      <c r="D331" s="27"/>
      <c r="E331" s="27"/>
      <c r="F331" s="27"/>
      <c r="G331" s="35">
        <v>5.0</v>
      </c>
      <c r="H331" s="1"/>
    </row>
    <row r="332" ht="15.75" customHeight="1">
      <c r="A332" s="36" t="s">
        <v>11</v>
      </c>
      <c r="B332" s="37"/>
      <c r="C332" s="37"/>
      <c r="D332" s="37"/>
      <c r="E332" s="37"/>
      <c r="F332" s="38"/>
      <c r="G332" s="39">
        <f>G329/G330*G331</f>
        <v>1.666666667</v>
      </c>
      <c r="H332" s="1"/>
    </row>
    <row r="333" ht="15.75" customHeight="1">
      <c r="A333" s="34" t="s">
        <v>12</v>
      </c>
      <c r="B333" s="27"/>
      <c r="C333" s="27"/>
      <c r="D333" s="27"/>
      <c r="E333" s="27"/>
      <c r="F333" s="27"/>
      <c r="G333" s="40"/>
      <c r="H333" s="41"/>
    </row>
    <row r="334" ht="15.75" customHeight="1">
      <c r="A334" s="42"/>
      <c r="G334" s="43"/>
      <c r="H334" s="44"/>
    </row>
    <row r="335" ht="15.75" customHeight="1">
      <c r="A335" s="45"/>
      <c r="G335" s="43"/>
      <c r="H335" s="44"/>
    </row>
    <row r="336" ht="15.75" customHeight="1">
      <c r="A336" s="46"/>
      <c r="B336" s="47"/>
      <c r="C336" s="47"/>
      <c r="D336" s="47"/>
      <c r="E336" s="47"/>
      <c r="F336" s="47"/>
      <c r="G336" s="48"/>
      <c r="H336" s="44"/>
    </row>
    <row r="337" ht="15.75" customHeight="1">
      <c r="A337" s="9" t="s">
        <v>29</v>
      </c>
      <c r="B337" s="10"/>
      <c r="C337" s="11">
        <v>0.0</v>
      </c>
      <c r="D337" s="12">
        <v>1.0</v>
      </c>
      <c r="E337" s="11">
        <v>2.0</v>
      </c>
      <c r="F337" s="13">
        <v>3.0</v>
      </c>
      <c r="G337" s="11" t="s">
        <v>6</v>
      </c>
      <c r="H337" s="11" t="s">
        <v>7</v>
      </c>
    </row>
    <row r="338" ht="15.75" customHeight="1">
      <c r="A338" s="49" t="s">
        <v>30</v>
      </c>
      <c r="B338" s="10"/>
      <c r="C338" s="15"/>
      <c r="D338" s="14"/>
      <c r="E338" s="15"/>
      <c r="F338" s="16"/>
      <c r="G338" s="50">
        <v>2.0</v>
      </c>
      <c r="H338" s="17" t="str">
        <f t="shared" ref="H338:H376" si="8">IF(G338&gt;=2,"SI","")</f>
        <v>SI</v>
      </c>
    </row>
    <row r="339" ht="15.75" customHeight="1">
      <c r="A339" s="52" t="s">
        <v>31</v>
      </c>
      <c r="B339" s="10"/>
      <c r="C339" s="15"/>
      <c r="D339" s="14"/>
      <c r="E339" s="15"/>
      <c r="F339" s="16"/>
      <c r="G339" s="15">
        <v>1.0</v>
      </c>
      <c r="H339" s="17" t="str">
        <f t="shared" si="8"/>
        <v/>
      </c>
    </row>
    <row r="340" ht="15.75" customHeight="1">
      <c r="A340" s="52" t="s">
        <v>32</v>
      </c>
      <c r="B340" s="10"/>
      <c r="C340" s="15"/>
      <c r="D340" s="14"/>
      <c r="E340" s="15"/>
      <c r="F340" s="16"/>
      <c r="G340" s="15">
        <v>1.0</v>
      </c>
      <c r="H340" s="17" t="str">
        <f t="shared" si="8"/>
        <v/>
      </c>
    </row>
    <row r="341" ht="15.75" customHeight="1">
      <c r="A341" s="18"/>
      <c r="B341" s="10"/>
      <c r="C341" s="15"/>
      <c r="D341" s="14"/>
      <c r="E341" s="15"/>
      <c r="F341" s="16"/>
      <c r="G341" s="15"/>
      <c r="H341" s="17" t="str">
        <f t="shared" si="8"/>
        <v/>
      </c>
    </row>
    <row r="342" ht="15.75" customHeight="1">
      <c r="A342" s="18"/>
      <c r="B342" s="10"/>
      <c r="C342" s="15"/>
      <c r="D342" s="14"/>
      <c r="E342" s="15"/>
      <c r="F342" s="16"/>
      <c r="G342" s="15"/>
      <c r="H342" s="17" t="str">
        <f t="shared" si="8"/>
        <v/>
      </c>
    </row>
    <row r="343" ht="15.75" customHeight="1">
      <c r="A343" s="18"/>
      <c r="B343" s="10"/>
      <c r="C343" s="15"/>
      <c r="D343" s="14"/>
      <c r="E343" s="15"/>
      <c r="F343" s="16"/>
      <c r="G343" s="15"/>
      <c r="H343" s="17" t="str">
        <f t="shared" si="8"/>
        <v/>
      </c>
    </row>
    <row r="344" ht="15.75" customHeight="1">
      <c r="A344" s="18"/>
      <c r="B344" s="10"/>
      <c r="C344" s="15"/>
      <c r="D344" s="14"/>
      <c r="E344" s="15"/>
      <c r="F344" s="16"/>
      <c r="G344" s="15"/>
      <c r="H344" s="17" t="str">
        <f t="shared" si="8"/>
        <v/>
      </c>
    </row>
    <row r="345" ht="15.75" customHeight="1">
      <c r="A345" s="18"/>
      <c r="B345" s="10"/>
      <c r="C345" s="15"/>
      <c r="D345" s="14"/>
      <c r="E345" s="15"/>
      <c r="F345" s="16"/>
      <c r="G345" s="15"/>
      <c r="H345" s="17" t="str">
        <f t="shared" si="8"/>
        <v/>
      </c>
    </row>
    <row r="346" ht="15.75" customHeight="1">
      <c r="A346" s="18"/>
      <c r="B346" s="10"/>
      <c r="C346" s="15"/>
      <c r="D346" s="14"/>
      <c r="E346" s="15"/>
      <c r="F346" s="16"/>
      <c r="G346" s="15"/>
      <c r="H346" s="17" t="str">
        <f t="shared" si="8"/>
        <v/>
      </c>
    </row>
    <row r="347" ht="15.75" customHeight="1">
      <c r="A347" s="18"/>
      <c r="B347" s="10"/>
      <c r="C347" s="15"/>
      <c r="D347" s="14"/>
      <c r="E347" s="15"/>
      <c r="F347" s="16"/>
      <c r="G347" s="15"/>
      <c r="H347" s="17" t="str">
        <f t="shared" si="8"/>
        <v/>
      </c>
    </row>
    <row r="348" ht="15.75" customHeight="1">
      <c r="A348" s="18"/>
      <c r="B348" s="10"/>
      <c r="C348" s="15"/>
      <c r="D348" s="14"/>
      <c r="E348" s="15"/>
      <c r="F348" s="16"/>
      <c r="G348" s="15"/>
      <c r="H348" s="17" t="str">
        <f t="shared" si="8"/>
        <v/>
      </c>
    </row>
    <row r="349" ht="15.75" customHeight="1">
      <c r="A349" s="18"/>
      <c r="B349" s="10"/>
      <c r="C349" s="15"/>
      <c r="D349" s="14"/>
      <c r="E349" s="15"/>
      <c r="F349" s="16"/>
      <c r="G349" s="15"/>
      <c r="H349" s="17" t="str">
        <f t="shared" si="8"/>
        <v/>
      </c>
    </row>
    <row r="350" ht="15.75" customHeight="1">
      <c r="A350" s="18"/>
      <c r="B350" s="10"/>
      <c r="C350" s="15"/>
      <c r="D350" s="14"/>
      <c r="E350" s="15"/>
      <c r="F350" s="16"/>
      <c r="G350" s="15"/>
      <c r="H350" s="17" t="str">
        <f t="shared" si="8"/>
        <v/>
      </c>
    </row>
    <row r="351" ht="15.75" customHeight="1">
      <c r="A351" s="18"/>
      <c r="B351" s="10"/>
      <c r="C351" s="15"/>
      <c r="D351" s="14"/>
      <c r="E351" s="15"/>
      <c r="F351" s="16"/>
      <c r="G351" s="15"/>
      <c r="H351" s="17" t="str">
        <f t="shared" si="8"/>
        <v/>
      </c>
    </row>
    <row r="352" ht="15.75" customHeight="1">
      <c r="A352" s="18"/>
      <c r="B352" s="10"/>
      <c r="C352" s="15"/>
      <c r="D352" s="14"/>
      <c r="E352" s="15"/>
      <c r="F352" s="16"/>
      <c r="G352" s="15"/>
      <c r="H352" s="17" t="str">
        <f t="shared" si="8"/>
        <v/>
      </c>
    </row>
    <row r="353" ht="15.75" customHeight="1">
      <c r="A353" s="18"/>
      <c r="B353" s="10"/>
      <c r="C353" s="15"/>
      <c r="D353" s="14"/>
      <c r="E353" s="15"/>
      <c r="F353" s="16"/>
      <c r="G353" s="15"/>
      <c r="H353" s="17" t="str">
        <f t="shared" si="8"/>
        <v/>
      </c>
    </row>
    <row r="354" ht="15.75" customHeight="1">
      <c r="A354" s="18"/>
      <c r="B354" s="10"/>
      <c r="C354" s="15"/>
      <c r="D354" s="14"/>
      <c r="E354" s="15"/>
      <c r="F354" s="16"/>
      <c r="G354" s="15"/>
      <c r="H354" s="17" t="str">
        <f t="shared" si="8"/>
        <v/>
      </c>
    </row>
    <row r="355" ht="15.75" customHeight="1">
      <c r="A355" s="18"/>
      <c r="B355" s="10"/>
      <c r="C355" s="15"/>
      <c r="D355" s="14"/>
      <c r="E355" s="15"/>
      <c r="F355" s="16"/>
      <c r="G355" s="15"/>
      <c r="H355" s="17" t="str">
        <f t="shared" si="8"/>
        <v/>
      </c>
    </row>
    <row r="356" ht="15.75" customHeight="1">
      <c r="A356" s="18"/>
      <c r="B356" s="10"/>
      <c r="C356" s="15"/>
      <c r="D356" s="14"/>
      <c r="E356" s="15"/>
      <c r="F356" s="16"/>
      <c r="G356" s="15"/>
      <c r="H356" s="17" t="str">
        <f t="shared" si="8"/>
        <v/>
      </c>
    </row>
    <row r="357" ht="15.75" customHeight="1">
      <c r="A357" s="18"/>
      <c r="B357" s="10"/>
      <c r="C357" s="15"/>
      <c r="D357" s="14"/>
      <c r="E357" s="15"/>
      <c r="F357" s="16"/>
      <c r="G357" s="15"/>
      <c r="H357" s="17" t="str">
        <f t="shared" si="8"/>
        <v/>
      </c>
    </row>
    <row r="358" ht="15.75" customHeight="1">
      <c r="A358" s="18"/>
      <c r="B358" s="10"/>
      <c r="C358" s="15"/>
      <c r="D358" s="14"/>
      <c r="E358" s="15"/>
      <c r="F358" s="16"/>
      <c r="G358" s="15"/>
      <c r="H358" s="17" t="str">
        <f t="shared" si="8"/>
        <v/>
      </c>
    </row>
    <row r="359" ht="15.75" customHeight="1">
      <c r="A359" s="18"/>
      <c r="B359" s="10"/>
      <c r="C359" s="15"/>
      <c r="D359" s="14"/>
      <c r="E359" s="15"/>
      <c r="F359" s="16"/>
      <c r="G359" s="15"/>
      <c r="H359" s="17" t="str">
        <f t="shared" si="8"/>
        <v/>
      </c>
    </row>
    <row r="360" ht="15.75" customHeight="1">
      <c r="A360" s="18"/>
      <c r="B360" s="10"/>
      <c r="C360" s="15"/>
      <c r="D360" s="14"/>
      <c r="E360" s="15"/>
      <c r="F360" s="16"/>
      <c r="G360" s="15"/>
      <c r="H360" s="17" t="str">
        <f t="shared" si="8"/>
        <v/>
      </c>
    </row>
    <row r="361" ht="15.75" customHeight="1">
      <c r="A361" s="18"/>
      <c r="B361" s="10"/>
      <c r="C361" s="15"/>
      <c r="D361" s="14"/>
      <c r="E361" s="15"/>
      <c r="F361" s="16"/>
      <c r="G361" s="15"/>
      <c r="H361" s="17" t="str">
        <f t="shared" si="8"/>
        <v/>
      </c>
    </row>
    <row r="362" ht="15.75" customHeight="1">
      <c r="A362" s="18"/>
      <c r="B362" s="10"/>
      <c r="C362" s="15"/>
      <c r="D362" s="14"/>
      <c r="E362" s="15"/>
      <c r="F362" s="16"/>
      <c r="G362" s="15"/>
      <c r="H362" s="17" t="str">
        <f t="shared" si="8"/>
        <v/>
      </c>
    </row>
    <row r="363" ht="15.75" customHeight="1">
      <c r="A363" s="18"/>
      <c r="B363" s="10"/>
      <c r="C363" s="15"/>
      <c r="D363" s="14"/>
      <c r="E363" s="15"/>
      <c r="F363" s="16"/>
      <c r="G363" s="15"/>
      <c r="H363" s="17" t="str">
        <f t="shared" si="8"/>
        <v/>
      </c>
    </row>
    <row r="364" ht="15.75" customHeight="1">
      <c r="A364" s="18"/>
      <c r="B364" s="10"/>
      <c r="C364" s="15"/>
      <c r="D364" s="14"/>
      <c r="E364" s="15"/>
      <c r="F364" s="16"/>
      <c r="G364" s="15"/>
      <c r="H364" s="17" t="str">
        <f t="shared" si="8"/>
        <v/>
      </c>
    </row>
    <row r="365" ht="15.75" customHeight="1">
      <c r="A365" s="18"/>
      <c r="B365" s="10"/>
      <c r="C365" s="15"/>
      <c r="D365" s="14"/>
      <c r="E365" s="15"/>
      <c r="F365" s="16"/>
      <c r="G365" s="15"/>
      <c r="H365" s="17" t="str">
        <f t="shared" si="8"/>
        <v/>
      </c>
    </row>
    <row r="366" ht="15.75" customHeight="1">
      <c r="A366" s="18"/>
      <c r="B366" s="10"/>
      <c r="C366" s="15"/>
      <c r="D366" s="14"/>
      <c r="E366" s="15"/>
      <c r="F366" s="16"/>
      <c r="G366" s="15"/>
      <c r="H366" s="17" t="str">
        <f t="shared" si="8"/>
        <v/>
      </c>
    </row>
    <row r="367" ht="15.75" customHeight="1">
      <c r="A367" s="18"/>
      <c r="B367" s="10"/>
      <c r="C367" s="15"/>
      <c r="D367" s="14"/>
      <c r="E367" s="15"/>
      <c r="F367" s="16"/>
      <c r="G367" s="15"/>
      <c r="H367" s="17" t="str">
        <f t="shared" si="8"/>
        <v/>
      </c>
    </row>
    <row r="368" ht="15.75" customHeight="1">
      <c r="A368" s="18"/>
      <c r="B368" s="10"/>
      <c r="C368" s="15"/>
      <c r="D368" s="14"/>
      <c r="E368" s="15"/>
      <c r="F368" s="16"/>
      <c r="G368" s="15"/>
      <c r="H368" s="17" t="str">
        <f t="shared" si="8"/>
        <v/>
      </c>
    </row>
    <row r="369" ht="15.75" customHeight="1">
      <c r="A369" s="18"/>
      <c r="B369" s="10"/>
      <c r="C369" s="15"/>
      <c r="D369" s="14"/>
      <c r="E369" s="15"/>
      <c r="F369" s="16"/>
      <c r="G369" s="15"/>
      <c r="H369" s="17" t="str">
        <f t="shared" si="8"/>
        <v/>
      </c>
    </row>
    <row r="370" ht="15.75" customHeight="1">
      <c r="A370" s="18"/>
      <c r="B370" s="10"/>
      <c r="C370" s="15"/>
      <c r="D370" s="14"/>
      <c r="E370" s="15"/>
      <c r="F370" s="16"/>
      <c r="G370" s="15"/>
      <c r="H370" s="17" t="str">
        <f t="shared" si="8"/>
        <v/>
      </c>
    </row>
    <row r="371" ht="15.75" customHeight="1">
      <c r="A371" s="18"/>
      <c r="B371" s="10"/>
      <c r="C371" s="15"/>
      <c r="D371" s="14"/>
      <c r="E371" s="15"/>
      <c r="F371" s="16"/>
      <c r="G371" s="15"/>
      <c r="H371" s="17" t="str">
        <f t="shared" si="8"/>
        <v/>
      </c>
    </row>
    <row r="372" ht="15.75" customHeight="1">
      <c r="A372" s="18"/>
      <c r="B372" s="10"/>
      <c r="C372" s="15"/>
      <c r="D372" s="14"/>
      <c r="E372" s="15"/>
      <c r="F372" s="16"/>
      <c r="G372" s="15"/>
      <c r="H372" s="17" t="str">
        <f t="shared" si="8"/>
        <v/>
      </c>
    </row>
    <row r="373" ht="15.75" customHeight="1">
      <c r="A373" s="18"/>
      <c r="B373" s="10"/>
      <c r="C373" s="15"/>
      <c r="D373" s="14"/>
      <c r="E373" s="15"/>
      <c r="F373" s="16"/>
      <c r="G373" s="15"/>
      <c r="H373" s="17" t="str">
        <f t="shared" si="8"/>
        <v/>
      </c>
    </row>
    <row r="374" ht="15.75" customHeight="1">
      <c r="A374" s="18"/>
      <c r="B374" s="10"/>
      <c r="C374" s="15"/>
      <c r="D374" s="14"/>
      <c r="E374" s="15"/>
      <c r="F374" s="16"/>
      <c r="G374" s="15"/>
      <c r="H374" s="17" t="str">
        <f t="shared" si="8"/>
        <v/>
      </c>
    </row>
    <row r="375" ht="15.75" customHeight="1">
      <c r="A375" s="18"/>
      <c r="B375" s="10"/>
      <c r="C375" s="15"/>
      <c r="D375" s="14"/>
      <c r="E375" s="15"/>
      <c r="F375" s="16"/>
      <c r="G375" s="15"/>
      <c r="H375" s="17" t="str">
        <f t="shared" si="8"/>
        <v/>
      </c>
    </row>
    <row r="376" ht="15.75" customHeight="1">
      <c r="A376" s="18"/>
      <c r="B376" s="10"/>
      <c r="C376" s="15"/>
      <c r="D376" s="14"/>
      <c r="E376" s="15"/>
      <c r="F376" s="16"/>
      <c r="G376" s="15"/>
      <c r="H376" s="17" t="str">
        <f t="shared" si="8"/>
        <v/>
      </c>
    </row>
    <row r="377" ht="15.75" customHeight="1">
      <c r="A377" s="25" t="s">
        <v>8</v>
      </c>
      <c r="B377" s="26"/>
      <c r="C377" s="26"/>
      <c r="D377" s="26"/>
      <c r="E377" s="27"/>
      <c r="F377" s="28">
        <f>COUNTA(A338:B376)</f>
        <v>3</v>
      </c>
      <c r="G377" s="29">
        <f>SUM(G338:G376)</f>
        <v>4</v>
      </c>
      <c r="H377" s="30"/>
    </row>
    <row r="378" ht="15.75" customHeight="1">
      <c r="A378" s="31" t="s">
        <v>9</v>
      </c>
      <c r="B378" s="32"/>
      <c r="C378" s="32"/>
      <c r="D378" s="32"/>
      <c r="E378" s="32"/>
      <c r="F378" s="32"/>
      <c r="G378" s="33">
        <f>3*F377</f>
        <v>9</v>
      </c>
      <c r="H378" s="1"/>
    </row>
    <row r="379" ht="15.75" customHeight="1">
      <c r="A379" s="34" t="s">
        <v>10</v>
      </c>
      <c r="B379" s="27"/>
      <c r="C379" s="27"/>
      <c r="D379" s="27"/>
      <c r="E379" s="27"/>
      <c r="F379" s="27"/>
      <c r="G379" s="35">
        <v>4.0</v>
      </c>
      <c r="H379" s="1"/>
    </row>
    <row r="380" ht="15.75" customHeight="1">
      <c r="A380" s="36" t="s">
        <v>11</v>
      </c>
      <c r="B380" s="37"/>
      <c r="C380" s="37"/>
      <c r="D380" s="37"/>
      <c r="E380" s="37"/>
      <c r="F380" s="38"/>
      <c r="G380" s="39">
        <f>G377/G378*G379</f>
        <v>1.777777778</v>
      </c>
      <c r="H380" s="1"/>
    </row>
    <row r="381" ht="15.75" customHeight="1">
      <c r="A381" s="34" t="s">
        <v>12</v>
      </c>
      <c r="B381" s="27"/>
      <c r="C381" s="27"/>
      <c r="D381" s="27"/>
      <c r="E381" s="27"/>
      <c r="F381" s="27"/>
      <c r="G381" s="40"/>
      <c r="H381" s="41"/>
    </row>
    <row r="382" ht="15.75" customHeight="1">
      <c r="A382" s="42"/>
      <c r="G382" s="43"/>
      <c r="H382" s="44"/>
    </row>
    <row r="383" ht="15.75" customHeight="1">
      <c r="A383" s="45"/>
      <c r="G383" s="43"/>
      <c r="H383" s="44"/>
    </row>
    <row r="384" ht="15.75" customHeight="1">
      <c r="A384" s="46"/>
      <c r="B384" s="47"/>
      <c r="C384" s="47"/>
      <c r="D384" s="47"/>
      <c r="E384" s="47"/>
      <c r="F384" s="47"/>
      <c r="G384" s="48"/>
      <c r="H384" s="44"/>
    </row>
    <row r="385" ht="15.75" customHeight="1">
      <c r="A385" s="9" t="s">
        <v>33</v>
      </c>
      <c r="B385" s="10"/>
      <c r="C385" s="11">
        <v>0.0</v>
      </c>
      <c r="D385" s="12">
        <v>1.0</v>
      </c>
      <c r="E385" s="11">
        <v>2.0</v>
      </c>
      <c r="F385" s="13">
        <v>3.0</v>
      </c>
      <c r="G385" s="11" t="s">
        <v>6</v>
      </c>
      <c r="H385" s="11" t="s">
        <v>7</v>
      </c>
    </row>
    <row r="386" ht="15.75" customHeight="1">
      <c r="A386" s="18"/>
      <c r="B386" s="10"/>
      <c r="C386" s="15"/>
      <c r="D386" s="14"/>
      <c r="E386" s="15"/>
      <c r="F386" s="16"/>
      <c r="G386" s="15"/>
      <c r="H386" s="17" t="str">
        <f t="shared" ref="H386:H424" si="9">IF(G386&gt;=2,"SI","")</f>
        <v/>
      </c>
    </row>
    <row r="387" ht="15.75" customHeight="1">
      <c r="A387" s="18"/>
      <c r="B387" s="10"/>
      <c r="C387" s="15"/>
      <c r="D387" s="14"/>
      <c r="E387" s="15"/>
      <c r="F387" s="16"/>
      <c r="G387" s="15"/>
      <c r="H387" s="17" t="str">
        <f t="shared" si="9"/>
        <v/>
      </c>
    </row>
    <row r="388" ht="15.75" customHeight="1">
      <c r="A388" s="18"/>
      <c r="B388" s="10"/>
      <c r="C388" s="15"/>
      <c r="D388" s="14"/>
      <c r="E388" s="15"/>
      <c r="F388" s="16"/>
      <c r="G388" s="15"/>
      <c r="H388" s="17" t="str">
        <f t="shared" si="9"/>
        <v/>
      </c>
    </row>
    <row r="389" ht="15.75" customHeight="1">
      <c r="A389" s="18"/>
      <c r="B389" s="10"/>
      <c r="C389" s="15"/>
      <c r="D389" s="14"/>
      <c r="E389" s="15"/>
      <c r="F389" s="16"/>
      <c r="G389" s="15"/>
      <c r="H389" s="17" t="str">
        <f t="shared" si="9"/>
        <v/>
      </c>
    </row>
    <row r="390" ht="15.75" customHeight="1">
      <c r="A390" s="18"/>
      <c r="B390" s="10"/>
      <c r="C390" s="15"/>
      <c r="D390" s="14"/>
      <c r="E390" s="15"/>
      <c r="F390" s="16"/>
      <c r="G390" s="15"/>
      <c r="H390" s="17" t="str">
        <f t="shared" si="9"/>
        <v/>
      </c>
    </row>
    <row r="391" ht="15.75" customHeight="1">
      <c r="A391" s="18"/>
      <c r="B391" s="10"/>
      <c r="C391" s="15"/>
      <c r="D391" s="14"/>
      <c r="E391" s="15"/>
      <c r="F391" s="16"/>
      <c r="G391" s="15"/>
      <c r="H391" s="17" t="str">
        <f t="shared" si="9"/>
        <v/>
      </c>
    </row>
    <row r="392" ht="15.75" customHeight="1">
      <c r="A392" s="18"/>
      <c r="B392" s="10"/>
      <c r="C392" s="15"/>
      <c r="D392" s="14"/>
      <c r="E392" s="15"/>
      <c r="F392" s="16"/>
      <c r="G392" s="15"/>
      <c r="H392" s="17" t="str">
        <f t="shared" si="9"/>
        <v/>
      </c>
    </row>
    <row r="393" ht="15.75" customHeight="1">
      <c r="A393" s="18"/>
      <c r="B393" s="10"/>
      <c r="C393" s="15"/>
      <c r="D393" s="14"/>
      <c r="E393" s="15"/>
      <c r="F393" s="16"/>
      <c r="G393" s="15"/>
      <c r="H393" s="17" t="str">
        <f t="shared" si="9"/>
        <v/>
      </c>
    </row>
    <row r="394" ht="15.75" customHeight="1">
      <c r="A394" s="18"/>
      <c r="B394" s="10"/>
      <c r="C394" s="15"/>
      <c r="D394" s="14"/>
      <c r="E394" s="15"/>
      <c r="F394" s="16"/>
      <c r="G394" s="15"/>
      <c r="H394" s="17" t="str">
        <f t="shared" si="9"/>
        <v/>
      </c>
    </row>
    <row r="395" ht="15.75" customHeight="1">
      <c r="A395" s="18"/>
      <c r="B395" s="10"/>
      <c r="C395" s="15"/>
      <c r="D395" s="14"/>
      <c r="E395" s="15"/>
      <c r="F395" s="16"/>
      <c r="G395" s="15"/>
      <c r="H395" s="17" t="str">
        <f t="shared" si="9"/>
        <v/>
      </c>
    </row>
    <row r="396" ht="15.75" customHeight="1">
      <c r="A396" s="18"/>
      <c r="B396" s="10"/>
      <c r="C396" s="15"/>
      <c r="D396" s="14"/>
      <c r="E396" s="15"/>
      <c r="F396" s="16"/>
      <c r="G396" s="15"/>
      <c r="H396" s="17" t="str">
        <f t="shared" si="9"/>
        <v/>
      </c>
    </row>
    <row r="397" ht="15.75" customHeight="1">
      <c r="A397" s="18"/>
      <c r="B397" s="10"/>
      <c r="C397" s="15"/>
      <c r="D397" s="14"/>
      <c r="E397" s="15"/>
      <c r="F397" s="16"/>
      <c r="G397" s="15"/>
      <c r="H397" s="17" t="str">
        <f t="shared" si="9"/>
        <v/>
      </c>
    </row>
    <row r="398" ht="15.75" customHeight="1">
      <c r="A398" s="18"/>
      <c r="B398" s="10"/>
      <c r="C398" s="15"/>
      <c r="D398" s="14"/>
      <c r="E398" s="15"/>
      <c r="F398" s="16"/>
      <c r="G398" s="15"/>
      <c r="H398" s="17" t="str">
        <f t="shared" si="9"/>
        <v/>
      </c>
    </row>
    <row r="399" ht="15.75" customHeight="1">
      <c r="A399" s="18"/>
      <c r="B399" s="10"/>
      <c r="C399" s="15"/>
      <c r="D399" s="14"/>
      <c r="E399" s="15"/>
      <c r="F399" s="16"/>
      <c r="G399" s="15"/>
      <c r="H399" s="17" t="str">
        <f t="shared" si="9"/>
        <v/>
      </c>
    </row>
    <row r="400" ht="15.75" customHeight="1">
      <c r="A400" s="18"/>
      <c r="B400" s="10"/>
      <c r="C400" s="15"/>
      <c r="D400" s="14"/>
      <c r="E400" s="15"/>
      <c r="F400" s="16"/>
      <c r="G400" s="15"/>
      <c r="H400" s="17" t="str">
        <f t="shared" si="9"/>
        <v/>
      </c>
    </row>
    <row r="401" ht="15.75" customHeight="1">
      <c r="A401" s="18"/>
      <c r="B401" s="10"/>
      <c r="C401" s="15"/>
      <c r="D401" s="14"/>
      <c r="E401" s="15"/>
      <c r="F401" s="16"/>
      <c r="G401" s="15"/>
      <c r="H401" s="17" t="str">
        <f t="shared" si="9"/>
        <v/>
      </c>
    </row>
    <row r="402" ht="15.75" customHeight="1">
      <c r="A402" s="18"/>
      <c r="B402" s="10"/>
      <c r="C402" s="15"/>
      <c r="D402" s="14"/>
      <c r="E402" s="15"/>
      <c r="F402" s="16"/>
      <c r="G402" s="15"/>
      <c r="H402" s="17" t="str">
        <f t="shared" si="9"/>
        <v/>
      </c>
    </row>
    <row r="403" ht="15.75" customHeight="1">
      <c r="A403" s="18"/>
      <c r="B403" s="10"/>
      <c r="C403" s="15"/>
      <c r="D403" s="14"/>
      <c r="E403" s="15"/>
      <c r="F403" s="16"/>
      <c r="G403" s="15"/>
      <c r="H403" s="17" t="str">
        <f t="shared" si="9"/>
        <v/>
      </c>
    </row>
    <row r="404" ht="15.75" customHeight="1">
      <c r="A404" s="18"/>
      <c r="B404" s="10"/>
      <c r="C404" s="15"/>
      <c r="D404" s="14"/>
      <c r="E404" s="15"/>
      <c r="F404" s="16"/>
      <c r="G404" s="15"/>
      <c r="H404" s="17" t="str">
        <f t="shared" si="9"/>
        <v/>
      </c>
    </row>
    <row r="405" ht="15.75" customHeight="1">
      <c r="A405" s="18"/>
      <c r="B405" s="10"/>
      <c r="C405" s="15"/>
      <c r="D405" s="14"/>
      <c r="E405" s="15"/>
      <c r="F405" s="16"/>
      <c r="G405" s="15"/>
      <c r="H405" s="17" t="str">
        <f t="shared" si="9"/>
        <v/>
      </c>
    </row>
    <row r="406" ht="15.75" customHeight="1">
      <c r="A406" s="18"/>
      <c r="B406" s="10"/>
      <c r="C406" s="15"/>
      <c r="D406" s="14"/>
      <c r="E406" s="15"/>
      <c r="F406" s="16"/>
      <c r="G406" s="15"/>
      <c r="H406" s="17" t="str">
        <f t="shared" si="9"/>
        <v/>
      </c>
    </row>
    <row r="407" ht="15.75" customHeight="1">
      <c r="A407" s="18"/>
      <c r="B407" s="10"/>
      <c r="C407" s="15"/>
      <c r="D407" s="14"/>
      <c r="E407" s="15"/>
      <c r="F407" s="16"/>
      <c r="G407" s="15"/>
      <c r="H407" s="17" t="str">
        <f t="shared" si="9"/>
        <v/>
      </c>
    </row>
    <row r="408" ht="15.75" customHeight="1">
      <c r="A408" s="18"/>
      <c r="B408" s="10"/>
      <c r="C408" s="15"/>
      <c r="D408" s="14"/>
      <c r="E408" s="15"/>
      <c r="F408" s="16"/>
      <c r="G408" s="15"/>
      <c r="H408" s="17" t="str">
        <f t="shared" si="9"/>
        <v/>
      </c>
    </row>
    <row r="409" ht="15.75" customHeight="1">
      <c r="A409" s="18"/>
      <c r="B409" s="10"/>
      <c r="C409" s="15"/>
      <c r="D409" s="14"/>
      <c r="E409" s="15"/>
      <c r="F409" s="16"/>
      <c r="G409" s="15"/>
      <c r="H409" s="17" t="str">
        <f t="shared" si="9"/>
        <v/>
      </c>
    </row>
    <row r="410" ht="15.75" customHeight="1">
      <c r="A410" s="18"/>
      <c r="B410" s="10"/>
      <c r="C410" s="15"/>
      <c r="D410" s="14"/>
      <c r="E410" s="15"/>
      <c r="F410" s="16"/>
      <c r="G410" s="15"/>
      <c r="H410" s="17" t="str">
        <f t="shared" si="9"/>
        <v/>
      </c>
    </row>
    <row r="411" ht="15.75" customHeight="1">
      <c r="A411" s="18"/>
      <c r="B411" s="10"/>
      <c r="C411" s="15"/>
      <c r="D411" s="14"/>
      <c r="E411" s="15"/>
      <c r="F411" s="16"/>
      <c r="G411" s="15"/>
      <c r="H411" s="17" t="str">
        <f t="shared" si="9"/>
        <v/>
      </c>
    </row>
    <row r="412" ht="15.75" customHeight="1">
      <c r="A412" s="18"/>
      <c r="B412" s="10"/>
      <c r="C412" s="15"/>
      <c r="D412" s="14"/>
      <c r="E412" s="15"/>
      <c r="F412" s="16"/>
      <c r="G412" s="15"/>
      <c r="H412" s="17" t="str">
        <f t="shared" si="9"/>
        <v/>
      </c>
    </row>
    <row r="413" ht="15.75" customHeight="1">
      <c r="A413" s="18"/>
      <c r="B413" s="10"/>
      <c r="C413" s="15"/>
      <c r="D413" s="14"/>
      <c r="E413" s="15"/>
      <c r="F413" s="16"/>
      <c r="G413" s="15"/>
      <c r="H413" s="17" t="str">
        <f t="shared" si="9"/>
        <v/>
      </c>
    </row>
    <row r="414" ht="15.75" customHeight="1">
      <c r="A414" s="18"/>
      <c r="B414" s="10"/>
      <c r="C414" s="15"/>
      <c r="D414" s="14"/>
      <c r="E414" s="15"/>
      <c r="F414" s="16"/>
      <c r="G414" s="15"/>
      <c r="H414" s="17" t="str">
        <f t="shared" si="9"/>
        <v/>
      </c>
    </row>
    <row r="415" ht="15.75" customHeight="1">
      <c r="A415" s="18"/>
      <c r="B415" s="10"/>
      <c r="C415" s="15"/>
      <c r="D415" s="14"/>
      <c r="E415" s="15"/>
      <c r="F415" s="16"/>
      <c r="G415" s="15"/>
      <c r="H415" s="17" t="str">
        <f t="shared" si="9"/>
        <v/>
      </c>
    </row>
    <row r="416" ht="15.75" customHeight="1">
      <c r="A416" s="18"/>
      <c r="B416" s="10"/>
      <c r="C416" s="15"/>
      <c r="D416" s="14"/>
      <c r="E416" s="15"/>
      <c r="F416" s="16"/>
      <c r="G416" s="15"/>
      <c r="H416" s="17" t="str">
        <f t="shared" si="9"/>
        <v/>
      </c>
    </row>
    <row r="417" ht="15.75" customHeight="1">
      <c r="A417" s="18"/>
      <c r="B417" s="10"/>
      <c r="C417" s="15"/>
      <c r="D417" s="14"/>
      <c r="E417" s="15"/>
      <c r="F417" s="16"/>
      <c r="G417" s="15"/>
      <c r="H417" s="17" t="str">
        <f t="shared" si="9"/>
        <v/>
      </c>
    </row>
    <row r="418" ht="15.75" customHeight="1">
      <c r="A418" s="18"/>
      <c r="B418" s="10"/>
      <c r="C418" s="15"/>
      <c r="D418" s="14"/>
      <c r="E418" s="15"/>
      <c r="F418" s="16"/>
      <c r="G418" s="15"/>
      <c r="H418" s="17" t="str">
        <f t="shared" si="9"/>
        <v/>
      </c>
    </row>
    <row r="419" ht="15.75" customHeight="1">
      <c r="A419" s="18"/>
      <c r="B419" s="10"/>
      <c r="C419" s="15"/>
      <c r="D419" s="14"/>
      <c r="E419" s="15"/>
      <c r="F419" s="16"/>
      <c r="G419" s="15"/>
      <c r="H419" s="17" t="str">
        <f t="shared" si="9"/>
        <v/>
      </c>
    </row>
    <row r="420" ht="15.75" customHeight="1">
      <c r="A420" s="18"/>
      <c r="B420" s="10"/>
      <c r="C420" s="15"/>
      <c r="D420" s="14"/>
      <c r="E420" s="15"/>
      <c r="F420" s="16"/>
      <c r="G420" s="15"/>
      <c r="H420" s="17" t="str">
        <f t="shared" si="9"/>
        <v/>
      </c>
    </row>
    <row r="421" ht="15.75" customHeight="1">
      <c r="A421" s="18"/>
      <c r="B421" s="10"/>
      <c r="C421" s="15"/>
      <c r="D421" s="14"/>
      <c r="E421" s="15"/>
      <c r="F421" s="16"/>
      <c r="G421" s="15"/>
      <c r="H421" s="17" t="str">
        <f t="shared" si="9"/>
        <v/>
      </c>
    </row>
    <row r="422" ht="15.75" customHeight="1">
      <c r="A422" s="18"/>
      <c r="B422" s="10"/>
      <c r="C422" s="15"/>
      <c r="D422" s="14"/>
      <c r="E422" s="15"/>
      <c r="F422" s="16"/>
      <c r="G422" s="15"/>
      <c r="H422" s="17" t="str">
        <f t="shared" si="9"/>
        <v/>
      </c>
    </row>
    <row r="423" ht="15.75" customHeight="1">
      <c r="A423" s="18"/>
      <c r="B423" s="10"/>
      <c r="C423" s="15"/>
      <c r="D423" s="14"/>
      <c r="E423" s="15"/>
      <c r="F423" s="16"/>
      <c r="G423" s="15"/>
      <c r="H423" s="17" t="str">
        <f t="shared" si="9"/>
        <v/>
      </c>
    </row>
    <row r="424" ht="15.75" customHeight="1">
      <c r="A424" s="18"/>
      <c r="B424" s="10"/>
      <c r="C424" s="15"/>
      <c r="D424" s="14"/>
      <c r="E424" s="15"/>
      <c r="F424" s="16"/>
      <c r="G424" s="15"/>
      <c r="H424" s="17" t="str">
        <f t="shared" si="9"/>
        <v/>
      </c>
    </row>
    <row r="425" ht="15.75" customHeight="1">
      <c r="A425" s="25" t="s">
        <v>8</v>
      </c>
      <c r="B425" s="26"/>
      <c r="C425" s="26"/>
      <c r="D425" s="26"/>
      <c r="E425" s="27"/>
      <c r="F425" s="28">
        <f>COUNTA(A386:B424)</f>
        <v>0</v>
      </c>
      <c r="G425" s="29">
        <f>SUM(G386:G424)</f>
        <v>0</v>
      </c>
      <c r="H425" s="30"/>
    </row>
    <row r="426" ht="15.75" customHeight="1">
      <c r="A426" s="31" t="s">
        <v>9</v>
      </c>
      <c r="B426" s="32"/>
      <c r="C426" s="32"/>
      <c r="D426" s="32"/>
      <c r="E426" s="32"/>
      <c r="F426" s="32"/>
      <c r="G426" s="33">
        <f>3*F425</f>
        <v>0</v>
      </c>
      <c r="H426" s="1"/>
    </row>
    <row r="427" ht="15.75" customHeight="1">
      <c r="A427" s="34" t="s">
        <v>10</v>
      </c>
      <c r="B427" s="27"/>
      <c r="C427" s="27"/>
      <c r="D427" s="27"/>
      <c r="E427" s="27"/>
      <c r="F427" s="27"/>
      <c r="G427" s="35">
        <v>3.0</v>
      </c>
      <c r="H427" s="1"/>
    </row>
    <row r="428" ht="15.75" customHeight="1">
      <c r="A428" s="36" t="s">
        <v>11</v>
      </c>
      <c r="B428" s="37"/>
      <c r="C428" s="37"/>
      <c r="D428" s="37"/>
      <c r="E428" s="37"/>
      <c r="F428" s="38"/>
      <c r="G428" s="39" t="str">
        <f>G425/G426*G427</f>
        <v>#DIV/0!</v>
      </c>
      <c r="H428" s="1"/>
    </row>
    <row r="429" ht="15.75" customHeight="1">
      <c r="A429" s="34" t="s">
        <v>12</v>
      </c>
      <c r="B429" s="27"/>
      <c r="C429" s="27"/>
      <c r="D429" s="27"/>
      <c r="E429" s="27"/>
      <c r="F429" s="27"/>
      <c r="G429" s="40"/>
      <c r="H429" s="41"/>
    </row>
    <row r="430" ht="15.75" customHeight="1">
      <c r="A430" s="42"/>
      <c r="G430" s="43"/>
      <c r="H430" s="44"/>
    </row>
    <row r="431" ht="15.75" customHeight="1">
      <c r="A431" s="45"/>
      <c r="G431" s="43"/>
      <c r="H431" s="44"/>
    </row>
    <row r="432" ht="15.75" customHeight="1">
      <c r="A432" s="46"/>
      <c r="B432" s="47"/>
      <c r="C432" s="47"/>
      <c r="D432" s="47"/>
      <c r="E432" s="47"/>
      <c r="F432" s="47"/>
      <c r="G432" s="48"/>
      <c r="H432" s="44"/>
    </row>
    <row r="433" ht="15.75" customHeight="1">
      <c r="A433" s="53" t="s">
        <v>34</v>
      </c>
      <c r="B433" s="54"/>
      <c r="C433" s="55">
        <v>0.0</v>
      </c>
      <c r="D433" s="56">
        <v>1.0</v>
      </c>
      <c r="E433" s="11">
        <v>2.0</v>
      </c>
      <c r="F433" s="57">
        <v>3.0</v>
      </c>
      <c r="G433" s="55" t="s">
        <v>6</v>
      </c>
      <c r="H433" s="11" t="s">
        <v>7</v>
      </c>
    </row>
    <row r="434" ht="15.75" customHeight="1">
      <c r="A434" s="49" t="s">
        <v>35</v>
      </c>
      <c r="B434" s="10"/>
      <c r="C434" s="15"/>
      <c r="D434" s="15"/>
      <c r="E434" s="15"/>
      <c r="F434" s="15"/>
      <c r="G434" s="50">
        <v>3.0</v>
      </c>
      <c r="H434" s="17" t="str">
        <f t="shared" ref="H434:H472" si="10">IF(G434&gt;=2,"SI","")</f>
        <v>SI</v>
      </c>
    </row>
    <row r="435" ht="15.75" customHeight="1">
      <c r="A435" s="18"/>
      <c r="B435" s="10"/>
      <c r="C435" s="15"/>
      <c r="D435" s="15"/>
      <c r="E435" s="15"/>
      <c r="F435" s="15"/>
      <c r="G435" s="15"/>
      <c r="H435" s="17" t="str">
        <f t="shared" si="10"/>
        <v/>
      </c>
    </row>
    <row r="436" ht="15.75" customHeight="1">
      <c r="A436" s="18"/>
      <c r="B436" s="10"/>
      <c r="C436" s="15"/>
      <c r="D436" s="15"/>
      <c r="E436" s="15"/>
      <c r="F436" s="15"/>
      <c r="G436" s="15"/>
      <c r="H436" s="17" t="str">
        <f t="shared" si="10"/>
        <v/>
      </c>
    </row>
    <row r="437" ht="15.75" customHeight="1">
      <c r="A437" s="18"/>
      <c r="B437" s="10"/>
      <c r="C437" s="15"/>
      <c r="D437" s="15"/>
      <c r="E437" s="15"/>
      <c r="F437" s="15"/>
      <c r="G437" s="15"/>
      <c r="H437" s="17" t="str">
        <f t="shared" si="10"/>
        <v/>
      </c>
    </row>
    <row r="438" ht="15.75" customHeight="1">
      <c r="A438" s="18"/>
      <c r="B438" s="10"/>
      <c r="C438" s="15"/>
      <c r="D438" s="15"/>
      <c r="E438" s="15"/>
      <c r="F438" s="15"/>
      <c r="G438" s="15"/>
      <c r="H438" s="17" t="str">
        <f t="shared" si="10"/>
        <v/>
      </c>
    </row>
    <row r="439" ht="15.75" customHeight="1">
      <c r="A439" s="18"/>
      <c r="B439" s="10"/>
      <c r="C439" s="15"/>
      <c r="D439" s="15"/>
      <c r="E439" s="15"/>
      <c r="F439" s="15"/>
      <c r="G439" s="15"/>
      <c r="H439" s="17" t="str">
        <f t="shared" si="10"/>
        <v/>
      </c>
    </row>
    <row r="440" ht="15.75" customHeight="1">
      <c r="A440" s="18"/>
      <c r="B440" s="10"/>
      <c r="C440" s="15"/>
      <c r="D440" s="15"/>
      <c r="E440" s="15"/>
      <c r="F440" s="15"/>
      <c r="G440" s="15"/>
      <c r="H440" s="17" t="str">
        <f t="shared" si="10"/>
        <v/>
      </c>
    </row>
    <row r="441" ht="15.75" customHeight="1">
      <c r="A441" s="18"/>
      <c r="B441" s="10"/>
      <c r="C441" s="15"/>
      <c r="D441" s="15"/>
      <c r="E441" s="15"/>
      <c r="F441" s="15"/>
      <c r="G441" s="15"/>
      <c r="H441" s="17" t="str">
        <f t="shared" si="10"/>
        <v/>
      </c>
    </row>
    <row r="442" ht="15.75" customHeight="1">
      <c r="A442" s="18"/>
      <c r="B442" s="10"/>
      <c r="C442" s="15"/>
      <c r="D442" s="15"/>
      <c r="E442" s="15"/>
      <c r="F442" s="15"/>
      <c r="G442" s="15"/>
      <c r="H442" s="17" t="str">
        <f t="shared" si="10"/>
        <v/>
      </c>
    </row>
    <row r="443" ht="15.75" customHeight="1">
      <c r="A443" s="18"/>
      <c r="B443" s="10"/>
      <c r="C443" s="15"/>
      <c r="D443" s="15"/>
      <c r="E443" s="15"/>
      <c r="F443" s="15"/>
      <c r="G443" s="15"/>
      <c r="H443" s="17" t="str">
        <f t="shared" si="10"/>
        <v/>
      </c>
    </row>
    <row r="444" ht="15.75" customHeight="1">
      <c r="A444" s="18"/>
      <c r="B444" s="10"/>
      <c r="C444" s="15"/>
      <c r="D444" s="15"/>
      <c r="E444" s="15"/>
      <c r="F444" s="15"/>
      <c r="G444" s="15"/>
      <c r="H444" s="17" t="str">
        <f t="shared" si="10"/>
        <v/>
      </c>
    </row>
    <row r="445" ht="15.75" customHeight="1">
      <c r="A445" s="18"/>
      <c r="B445" s="10"/>
      <c r="C445" s="15"/>
      <c r="D445" s="15"/>
      <c r="E445" s="15"/>
      <c r="F445" s="15"/>
      <c r="G445" s="15"/>
      <c r="H445" s="17" t="str">
        <f t="shared" si="10"/>
        <v/>
      </c>
    </row>
    <row r="446" ht="15.75" customHeight="1">
      <c r="A446" s="18"/>
      <c r="B446" s="10"/>
      <c r="C446" s="15"/>
      <c r="D446" s="15"/>
      <c r="E446" s="15"/>
      <c r="F446" s="15"/>
      <c r="G446" s="15"/>
      <c r="H446" s="17" t="str">
        <f t="shared" si="10"/>
        <v/>
      </c>
    </row>
    <row r="447" ht="15.75" customHeight="1">
      <c r="A447" s="18"/>
      <c r="B447" s="10"/>
      <c r="C447" s="15"/>
      <c r="D447" s="15"/>
      <c r="E447" s="15"/>
      <c r="F447" s="15"/>
      <c r="G447" s="15"/>
      <c r="H447" s="17" t="str">
        <f t="shared" si="10"/>
        <v/>
      </c>
    </row>
    <row r="448" ht="15.75" customHeight="1">
      <c r="A448" s="18"/>
      <c r="B448" s="10"/>
      <c r="C448" s="15"/>
      <c r="D448" s="15"/>
      <c r="E448" s="15"/>
      <c r="F448" s="15"/>
      <c r="G448" s="15"/>
      <c r="H448" s="17" t="str">
        <f t="shared" si="10"/>
        <v/>
      </c>
    </row>
    <row r="449" ht="15.75" customHeight="1">
      <c r="A449" s="18"/>
      <c r="B449" s="10"/>
      <c r="C449" s="15"/>
      <c r="D449" s="15"/>
      <c r="E449" s="15"/>
      <c r="F449" s="15"/>
      <c r="G449" s="15"/>
      <c r="H449" s="17" t="str">
        <f t="shared" si="10"/>
        <v/>
      </c>
    </row>
    <row r="450" ht="15.75" customHeight="1">
      <c r="A450" s="18"/>
      <c r="B450" s="10"/>
      <c r="C450" s="15"/>
      <c r="D450" s="15"/>
      <c r="E450" s="15"/>
      <c r="F450" s="15"/>
      <c r="G450" s="15"/>
      <c r="H450" s="17" t="str">
        <f t="shared" si="10"/>
        <v/>
      </c>
    </row>
    <row r="451" ht="15.75" customHeight="1">
      <c r="A451" s="18"/>
      <c r="B451" s="10"/>
      <c r="C451" s="15"/>
      <c r="D451" s="15"/>
      <c r="E451" s="15"/>
      <c r="F451" s="15"/>
      <c r="G451" s="15"/>
      <c r="H451" s="17" t="str">
        <f t="shared" si="10"/>
        <v/>
      </c>
    </row>
    <row r="452" ht="15.75" customHeight="1">
      <c r="A452" s="18"/>
      <c r="B452" s="10"/>
      <c r="C452" s="15"/>
      <c r="D452" s="15"/>
      <c r="E452" s="15"/>
      <c r="F452" s="15"/>
      <c r="G452" s="15"/>
      <c r="H452" s="17" t="str">
        <f t="shared" si="10"/>
        <v/>
      </c>
    </row>
    <row r="453" ht="15.75" customHeight="1">
      <c r="A453" s="18"/>
      <c r="B453" s="10"/>
      <c r="C453" s="15"/>
      <c r="D453" s="15"/>
      <c r="E453" s="15"/>
      <c r="F453" s="15"/>
      <c r="G453" s="15"/>
      <c r="H453" s="17" t="str">
        <f t="shared" si="10"/>
        <v/>
      </c>
    </row>
    <row r="454" ht="15.75" customHeight="1">
      <c r="A454" s="18"/>
      <c r="B454" s="10"/>
      <c r="C454" s="15"/>
      <c r="D454" s="15"/>
      <c r="E454" s="15"/>
      <c r="F454" s="15"/>
      <c r="G454" s="15"/>
      <c r="H454" s="17" t="str">
        <f t="shared" si="10"/>
        <v/>
      </c>
    </row>
    <row r="455" ht="15.75" customHeight="1">
      <c r="A455" s="18"/>
      <c r="B455" s="10"/>
      <c r="C455" s="15"/>
      <c r="D455" s="15"/>
      <c r="E455" s="15"/>
      <c r="F455" s="15"/>
      <c r="G455" s="15"/>
      <c r="H455" s="17" t="str">
        <f t="shared" si="10"/>
        <v/>
      </c>
    </row>
    <row r="456" ht="15.75" customHeight="1">
      <c r="A456" s="18"/>
      <c r="B456" s="10"/>
      <c r="C456" s="15"/>
      <c r="D456" s="15"/>
      <c r="E456" s="15"/>
      <c r="F456" s="15"/>
      <c r="G456" s="15"/>
      <c r="H456" s="17" t="str">
        <f t="shared" si="10"/>
        <v/>
      </c>
    </row>
    <row r="457" ht="15.75" customHeight="1">
      <c r="A457" s="18"/>
      <c r="B457" s="10"/>
      <c r="C457" s="15"/>
      <c r="D457" s="15"/>
      <c r="E457" s="15"/>
      <c r="F457" s="15"/>
      <c r="G457" s="15"/>
      <c r="H457" s="17" t="str">
        <f t="shared" si="10"/>
        <v/>
      </c>
    </row>
    <row r="458" ht="15.75" customHeight="1">
      <c r="A458" s="18"/>
      <c r="B458" s="10"/>
      <c r="C458" s="15"/>
      <c r="D458" s="15"/>
      <c r="E458" s="15"/>
      <c r="F458" s="15"/>
      <c r="G458" s="15"/>
      <c r="H458" s="17" t="str">
        <f t="shared" si="10"/>
        <v/>
      </c>
    </row>
    <row r="459" ht="15.75" customHeight="1">
      <c r="A459" s="18"/>
      <c r="B459" s="10"/>
      <c r="C459" s="15"/>
      <c r="D459" s="15"/>
      <c r="E459" s="15"/>
      <c r="F459" s="15"/>
      <c r="G459" s="15"/>
      <c r="H459" s="17" t="str">
        <f t="shared" si="10"/>
        <v/>
      </c>
    </row>
    <row r="460" ht="15.75" customHeight="1">
      <c r="A460" s="18"/>
      <c r="B460" s="10"/>
      <c r="C460" s="15"/>
      <c r="D460" s="15"/>
      <c r="E460" s="15"/>
      <c r="F460" s="15"/>
      <c r="G460" s="15"/>
      <c r="H460" s="17" t="str">
        <f t="shared" si="10"/>
        <v/>
      </c>
    </row>
    <row r="461" ht="15.75" customHeight="1">
      <c r="A461" s="18"/>
      <c r="B461" s="10"/>
      <c r="C461" s="15"/>
      <c r="D461" s="15"/>
      <c r="E461" s="15"/>
      <c r="F461" s="15"/>
      <c r="G461" s="15"/>
      <c r="H461" s="17" t="str">
        <f t="shared" si="10"/>
        <v/>
      </c>
    </row>
    <row r="462" ht="15.75" customHeight="1">
      <c r="A462" s="18"/>
      <c r="B462" s="10"/>
      <c r="C462" s="15"/>
      <c r="D462" s="15"/>
      <c r="E462" s="15"/>
      <c r="F462" s="15"/>
      <c r="G462" s="15"/>
      <c r="H462" s="17" t="str">
        <f t="shared" si="10"/>
        <v/>
      </c>
    </row>
    <row r="463" ht="15.75" customHeight="1">
      <c r="A463" s="18"/>
      <c r="B463" s="10"/>
      <c r="C463" s="15"/>
      <c r="D463" s="15"/>
      <c r="E463" s="15"/>
      <c r="F463" s="15"/>
      <c r="G463" s="15"/>
      <c r="H463" s="17" t="str">
        <f t="shared" si="10"/>
        <v/>
      </c>
    </row>
    <row r="464" ht="15.75" customHeight="1">
      <c r="A464" s="18"/>
      <c r="B464" s="10"/>
      <c r="C464" s="15"/>
      <c r="D464" s="15"/>
      <c r="E464" s="15"/>
      <c r="F464" s="15"/>
      <c r="G464" s="15"/>
      <c r="H464" s="17" t="str">
        <f t="shared" si="10"/>
        <v/>
      </c>
    </row>
    <row r="465" ht="15.75" customHeight="1">
      <c r="A465" s="18"/>
      <c r="B465" s="10"/>
      <c r="C465" s="15"/>
      <c r="D465" s="15"/>
      <c r="E465" s="15"/>
      <c r="F465" s="15"/>
      <c r="G465" s="15"/>
      <c r="H465" s="17" t="str">
        <f t="shared" si="10"/>
        <v/>
      </c>
    </row>
    <row r="466" ht="15.75" customHeight="1">
      <c r="A466" s="18"/>
      <c r="B466" s="10"/>
      <c r="C466" s="15"/>
      <c r="D466" s="15"/>
      <c r="E466" s="15"/>
      <c r="F466" s="15"/>
      <c r="G466" s="15"/>
      <c r="H466" s="17" t="str">
        <f t="shared" si="10"/>
        <v/>
      </c>
    </row>
    <row r="467" ht="15.75" customHeight="1">
      <c r="A467" s="18"/>
      <c r="B467" s="10"/>
      <c r="C467" s="15"/>
      <c r="D467" s="15"/>
      <c r="E467" s="15"/>
      <c r="F467" s="15"/>
      <c r="G467" s="15"/>
      <c r="H467" s="17" t="str">
        <f t="shared" si="10"/>
        <v/>
      </c>
    </row>
    <row r="468" ht="15.75" customHeight="1">
      <c r="A468" s="18"/>
      <c r="B468" s="10"/>
      <c r="C468" s="15"/>
      <c r="D468" s="15"/>
      <c r="E468" s="15"/>
      <c r="F468" s="15"/>
      <c r="G468" s="15"/>
      <c r="H468" s="17" t="str">
        <f t="shared" si="10"/>
        <v/>
      </c>
    </row>
    <row r="469" ht="15.75" customHeight="1">
      <c r="A469" s="18"/>
      <c r="B469" s="10"/>
      <c r="C469" s="15"/>
      <c r="D469" s="15"/>
      <c r="E469" s="15"/>
      <c r="F469" s="15"/>
      <c r="G469" s="15"/>
      <c r="H469" s="17" t="str">
        <f t="shared" si="10"/>
        <v/>
      </c>
    </row>
    <row r="470" ht="15.75" customHeight="1">
      <c r="A470" s="18"/>
      <c r="B470" s="10"/>
      <c r="C470" s="15"/>
      <c r="D470" s="15"/>
      <c r="E470" s="15"/>
      <c r="F470" s="15"/>
      <c r="G470" s="15"/>
      <c r="H470" s="17" t="str">
        <f t="shared" si="10"/>
        <v/>
      </c>
    </row>
    <row r="471" ht="15.75" customHeight="1">
      <c r="A471" s="18"/>
      <c r="B471" s="10"/>
      <c r="C471" s="15"/>
      <c r="D471" s="15"/>
      <c r="E471" s="15"/>
      <c r="F471" s="15"/>
      <c r="G471" s="15"/>
      <c r="H471" s="17" t="str">
        <f t="shared" si="10"/>
        <v/>
      </c>
    </row>
    <row r="472" ht="15.75" customHeight="1">
      <c r="A472" s="18"/>
      <c r="B472" s="10"/>
      <c r="C472" s="15"/>
      <c r="D472" s="15"/>
      <c r="E472" s="15"/>
      <c r="F472" s="15"/>
      <c r="G472" s="15"/>
      <c r="H472" s="17" t="str">
        <f t="shared" si="10"/>
        <v/>
      </c>
    </row>
    <row r="473" ht="15.75" customHeight="1">
      <c r="A473" s="34" t="s">
        <v>8</v>
      </c>
      <c r="B473" s="27"/>
      <c r="C473" s="27"/>
      <c r="D473" s="27"/>
      <c r="E473" s="27"/>
      <c r="F473" s="58">
        <f>COUNTA(A434:B472)</f>
        <v>1</v>
      </c>
      <c r="G473" s="35">
        <f>SUM(G434:G472)</f>
        <v>3</v>
      </c>
      <c r="H473" s="30"/>
    </row>
    <row r="474" ht="15.75" customHeight="1">
      <c r="A474" s="31" t="s">
        <v>9</v>
      </c>
      <c r="B474" s="32"/>
      <c r="C474" s="32"/>
      <c r="D474" s="32"/>
      <c r="E474" s="32"/>
      <c r="F474" s="32"/>
      <c r="G474" s="33">
        <f>3*F473</f>
        <v>3</v>
      </c>
      <c r="H474" s="1"/>
    </row>
    <row r="475" ht="15.75" customHeight="1">
      <c r="A475" s="34" t="s">
        <v>10</v>
      </c>
      <c r="B475" s="27"/>
      <c r="C475" s="27"/>
      <c r="D475" s="27"/>
      <c r="E475" s="27"/>
      <c r="F475" s="27"/>
      <c r="G475" s="35">
        <v>5.0</v>
      </c>
      <c r="H475" s="1"/>
    </row>
    <row r="476" ht="15.75" customHeight="1">
      <c r="A476" s="36" t="s">
        <v>11</v>
      </c>
      <c r="B476" s="37"/>
      <c r="C476" s="37"/>
      <c r="D476" s="37"/>
      <c r="E476" s="37"/>
      <c r="F476" s="38"/>
      <c r="G476" s="39">
        <f>G473/G474*G475</f>
        <v>5</v>
      </c>
      <c r="H476" s="1"/>
    </row>
    <row r="477" ht="15.75" customHeight="1">
      <c r="A477" s="34" t="s">
        <v>12</v>
      </c>
      <c r="B477" s="27"/>
      <c r="C477" s="27"/>
      <c r="D477" s="27"/>
      <c r="E477" s="27"/>
      <c r="F477" s="27"/>
      <c r="G477" s="40"/>
      <c r="H477" s="41"/>
    </row>
    <row r="478" ht="15.75" customHeight="1">
      <c r="A478" s="42"/>
      <c r="G478" s="43"/>
      <c r="H478" s="44"/>
    </row>
    <row r="479" ht="15.75" customHeight="1">
      <c r="A479" s="45"/>
      <c r="G479" s="43"/>
      <c r="H479" s="44"/>
    </row>
    <row r="480" ht="15.75" customHeight="1">
      <c r="A480" s="46"/>
      <c r="B480" s="47"/>
      <c r="C480" s="47"/>
      <c r="D480" s="47"/>
      <c r="E480" s="47"/>
      <c r="F480" s="47"/>
      <c r="G480" s="48"/>
      <c r="H480" s="44"/>
    </row>
    <row r="481" ht="15.75" customHeight="1">
      <c r="A481" s="59"/>
      <c r="B481" s="59"/>
      <c r="E481" s="8"/>
    </row>
    <row r="482" ht="15.75" customHeight="1">
      <c r="A482" s="59"/>
      <c r="B482" s="59"/>
      <c r="E482" s="8"/>
    </row>
    <row r="483" ht="15.75" customHeight="1">
      <c r="A483" s="59"/>
      <c r="B483" s="59"/>
      <c r="E483" s="8"/>
    </row>
    <row r="484" ht="15.75" customHeight="1">
      <c r="A484" s="59"/>
      <c r="B484" s="59"/>
      <c r="E484" s="8"/>
    </row>
    <row r="485" ht="15.75" customHeight="1">
      <c r="A485" s="59"/>
      <c r="B485" s="59"/>
      <c r="E485" s="8"/>
    </row>
    <row r="486" ht="15.75" customHeight="1">
      <c r="A486" s="59"/>
      <c r="B486" s="59"/>
      <c r="E486" s="8"/>
    </row>
    <row r="487" ht="15.75" customHeight="1">
      <c r="A487" s="59"/>
      <c r="B487" s="59"/>
      <c r="E487" s="8"/>
    </row>
    <row r="488" ht="15.75" customHeight="1">
      <c r="A488" s="59"/>
      <c r="B488" s="59"/>
      <c r="E488" s="8"/>
    </row>
    <row r="489" ht="15.75" customHeight="1">
      <c r="A489" s="59"/>
      <c r="B489" s="59"/>
      <c r="E489" s="8"/>
    </row>
    <row r="490" ht="15.75" customHeight="1">
      <c r="A490" s="59"/>
      <c r="B490" s="59"/>
      <c r="E490" s="8"/>
    </row>
    <row r="491" ht="15.75" customHeight="1">
      <c r="A491" s="59"/>
      <c r="B491" s="59"/>
      <c r="E491" s="8"/>
    </row>
    <row r="492" ht="15.75" customHeight="1">
      <c r="A492" s="59"/>
      <c r="B492" s="59"/>
      <c r="E492" s="8"/>
    </row>
    <row r="493" ht="15.75" customHeight="1">
      <c r="A493" s="59"/>
      <c r="B493" s="59"/>
      <c r="E493" s="8"/>
    </row>
    <row r="494" ht="15.75" customHeight="1">
      <c r="A494" s="59"/>
      <c r="B494" s="59"/>
      <c r="E494" s="8"/>
    </row>
    <row r="495" ht="15.75" customHeight="1">
      <c r="A495" s="59"/>
      <c r="B495" s="59"/>
      <c r="E495" s="8"/>
    </row>
    <row r="496" ht="15.75" customHeight="1">
      <c r="A496" s="59"/>
      <c r="B496" s="59"/>
      <c r="E496" s="8"/>
    </row>
    <row r="497" ht="15.75" customHeight="1">
      <c r="A497" s="59"/>
      <c r="B497" s="59"/>
      <c r="E497" s="8"/>
    </row>
    <row r="498" ht="15.75" customHeight="1">
      <c r="A498" s="59"/>
      <c r="B498" s="59"/>
      <c r="E498" s="8"/>
    </row>
    <row r="499" ht="15.75" customHeight="1">
      <c r="A499" s="59"/>
      <c r="B499" s="59"/>
      <c r="E499" s="8"/>
    </row>
    <row r="500" ht="15.75" customHeight="1">
      <c r="A500" s="59"/>
      <c r="B500" s="59"/>
      <c r="E500" s="8"/>
    </row>
    <row r="501" ht="15.75" customHeight="1">
      <c r="A501" s="59"/>
      <c r="B501" s="59"/>
      <c r="E501" s="8"/>
    </row>
    <row r="502" ht="15.75" customHeight="1">
      <c r="A502" s="59"/>
      <c r="B502" s="59"/>
      <c r="E502" s="8"/>
    </row>
    <row r="503" ht="15.75" customHeight="1">
      <c r="A503" s="59"/>
      <c r="B503" s="59"/>
      <c r="E503" s="8"/>
    </row>
    <row r="504" ht="15.75" customHeight="1">
      <c r="A504" s="59"/>
      <c r="B504" s="59"/>
      <c r="E504" s="8"/>
    </row>
    <row r="505" ht="15.75" customHeight="1">
      <c r="A505" s="59"/>
      <c r="B505" s="59"/>
      <c r="E505" s="8"/>
    </row>
    <row r="506" ht="15.75" customHeight="1">
      <c r="A506" s="59"/>
      <c r="B506" s="59"/>
      <c r="E506" s="8"/>
    </row>
    <row r="507" ht="15.75" customHeight="1">
      <c r="A507" s="59"/>
      <c r="B507" s="59"/>
      <c r="E507" s="8"/>
    </row>
    <row r="508" ht="15.75" customHeight="1">
      <c r="A508" s="59"/>
      <c r="B508" s="59"/>
      <c r="E508" s="8"/>
    </row>
    <row r="509" ht="15.75" customHeight="1">
      <c r="A509" s="59"/>
      <c r="B509" s="59"/>
      <c r="E509" s="8"/>
    </row>
    <row r="510" ht="15.75" customHeight="1">
      <c r="A510" s="59"/>
      <c r="B510" s="59"/>
      <c r="E510" s="8"/>
    </row>
    <row r="511" ht="15.75" customHeight="1">
      <c r="A511" s="59"/>
      <c r="B511" s="59"/>
      <c r="E511" s="8"/>
    </row>
    <row r="512" ht="15.75" customHeight="1">
      <c r="A512" s="59"/>
      <c r="B512" s="59"/>
      <c r="E512" s="8"/>
    </row>
    <row r="513" ht="15.75" customHeight="1">
      <c r="A513" s="59"/>
      <c r="B513" s="59"/>
      <c r="E513" s="8"/>
    </row>
    <row r="514" ht="15.75" customHeight="1">
      <c r="A514" s="59"/>
      <c r="B514" s="59"/>
      <c r="E514" s="8"/>
    </row>
    <row r="515" ht="15.75" customHeight="1">
      <c r="A515" s="59"/>
      <c r="B515" s="59"/>
      <c r="E515" s="8"/>
    </row>
    <row r="516" ht="15.75" customHeight="1">
      <c r="A516" s="59"/>
      <c r="B516" s="59"/>
      <c r="E516" s="8"/>
    </row>
    <row r="517" ht="15.75" customHeight="1">
      <c r="A517" s="59"/>
      <c r="B517" s="59"/>
      <c r="E517" s="8"/>
    </row>
    <row r="518" ht="15.75" customHeight="1">
      <c r="A518" s="59"/>
      <c r="B518" s="59"/>
      <c r="E518" s="8"/>
    </row>
    <row r="519" ht="15.75" customHeight="1">
      <c r="A519" s="59"/>
      <c r="B519" s="59"/>
      <c r="E519" s="8"/>
    </row>
    <row r="520" ht="15.75" customHeight="1">
      <c r="A520" s="59"/>
      <c r="B520" s="59"/>
      <c r="E520" s="8"/>
    </row>
    <row r="521" ht="15.75" customHeight="1">
      <c r="A521" s="59"/>
      <c r="B521" s="59"/>
      <c r="E521" s="8"/>
    </row>
    <row r="522" ht="15.75" customHeight="1">
      <c r="A522" s="59"/>
      <c r="B522" s="59"/>
      <c r="E522" s="8"/>
    </row>
    <row r="523" ht="15.75" customHeight="1">
      <c r="A523" s="59"/>
      <c r="B523" s="59"/>
      <c r="E523" s="8"/>
    </row>
    <row r="524" ht="15.75" customHeight="1">
      <c r="A524" s="59"/>
      <c r="B524" s="59"/>
      <c r="E524" s="8"/>
    </row>
    <row r="525" ht="15.75" customHeight="1">
      <c r="A525" s="59"/>
      <c r="B525" s="59"/>
      <c r="E525" s="8"/>
    </row>
    <row r="526" ht="15.75" customHeight="1">
      <c r="A526" s="59"/>
      <c r="B526" s="59"/>
      <c r="E526" s="8"/>
    </row>
    <row r="527" ht="15.75" customHeight="1">
      <c r="A527" s="59"/>
      <c r="B527" s="59"/>
      <c r="E527" s="8"/>
    </row>
    <row r="528" ht="15.75" customHeight="1">
      <c r="A528" s="59"/>
      <c r="B528" s="59"/>
      <c r="E528" s="8"/>
    </row>
    <row r="529" ht="15.75" customHeight="1">
      <c r="A529" s="59"/>
      <c r="B529" s="59"/>
      <c r="E529" s="8"/>
    </row>
    <row r="530" ht="15.75" customHeight="1">
      <c r="A530" s="59"/>
      <c r="B530" s="59"/>
      <c r="E530" s="8"/>
    </row>
    <row r="531" ht="15.75" customHeight="1">
      <c r="A531" s="59"/>
      <c r="B531" s="59"/>
      <c r="E531" s="8"/>
    </row>
    <row r="532" ht="15.75" customHeight="1">
      <c r="A532" s="59"/>
      <c r="B532" s="59"/>
      <c r="E532" s="8"/>
    </row>
    <row r="533" ht="15.75" customHeight="1">
      <c r="A533" s="59"/>
      <c r="B533" s="59"/>
      <c r="E533" s="8"/>
    </row>
    <row r="534" ht="15.75" customHeight="1">
      <c r="A534" s="59"/>
      <c r="B534" s="59"/>
      <c r="E534" s="8"/>
    </row>
    <row r="535" ht="15.75" customHeight="1">
      <c r="A535" s="59"/>
      <c r="B535" s="59"/>
      <c r="E535" s="8"/>
    </row>
    <row r="536" ht="15.75" customHeight="1">
      <c r="A536" s="59"/>
      <c r="B536" s="59"/>
      <c r="E536" s="8"/>
    </row>
    <row r="537" ht="15.75" customHeight="1">
      <c r="A537" s="59"/>
      <c r="B537" s="59"/>
      <c r="E537" s="8"/>
    </row>
    <row r="538" ht="15.75" customHeight="1">
      <c r="A538" s="59"/>
      <c r="B538" s="59"/>
      <c r="E538" s="8"/>
    </row>
    <row r="539" ht="15.75" customHeight="1">
      <c r="A539" s="59"/>
      <c r="B539" s="59"/>
      <c r="E539" s="8"/>
    </row>
    <row r="540" ht="15.75" customHeight="1">
      <c r="A540" s="59"/>
      <c r="B540" s="59"/>
      <c r="E540" s="8"/>
    </row>
    <row r="541" ht="15.75" customHeight="1">
      <c r="A541" s="59"/>
      <c r="B541" s="59"/>
      <c r="E541" s="8"/>
    </row>
    <row r="542" ht="15.75" customHeight="1">
      <c r="A542" s="59"/>
      <c r="B542" s="59"/>
      <c r="E542" s="8"/>
    </row>
    <row r="543" ht="15.75" customHeight="1">
      <c r="A543" s="59"/>
      <c r="B543" s="59"/>
      <c r="E543" s="8"/>
    </row>
    <row r="544" ht="15.75" customHeight="1">
      <c r="A544" s="59"/>
      <c r="B544" s="59"/>
      <c r="E544" s="8"/>
    </row>
    <row r="545" ht="15.75" customHeight="1">
      <c r="A545" s="59"/>
      <c r="B545" s="59"/>
      <c r="E545" s="8"/>
    </row>
    <row r="546" ht="15.75" customHeight="1">
      <c r="A546" s="59"/>
      <c r="B546" s="59"/>
      <c r="E546" s="8"/>
    </row>
    <row r="547" ht="15.75" customHeight="1">
      <c r="A547" s="59"/>
      <c r="B547" s="59"/>
      <c r="E547" s="8"/>
    </row>
    <row r="548" ht="15.75" customHeight="1">
      <c r="A548" s="59"/>
      <c r="B548" s="59"/>
      <c r="E548" s="8"/>
    </row>
    <row r="549" ht="15.75" customHeight="1">
      <c r="A549" s="59"/>
      <c r="B549" s="59"/>
      <c r="E549" s="8"/>
    </row>
    <row r="550" ht="15.75" customHeight="1">
      <c r="A550" s="59"/>
      <c r="B550" s="59"/>
      <c r="E550" s="8"/>
    </row>
    <row r="551" ht="15.75" customHeight="1">
      <c r="A551" s="59"/>
      <c r="B551" s="59"/>
      <c r="E551" s="8"/>
    </row>
    <row r="552" ht="15.75" customHeight="1">
      <c r="A552" s="59"/>
      <c r="B552" s="59"/>
      <c r="E552" s="8"/>
    </row>
    <row r="553" ht="15.75" customHeight="1">
      <c r="A553" s="59"/>
      <c r="B553" s="59"/>
      <c r="E553" s="8"/>
    </row>
    <row r="554" ht="15.75" customHeight="1">
      <c r="A554" s="59"/>
      <c r="B554" s="59"/>
      <c r="E554" s="8"/>
    </row>
    <row r="555" ht="15.75" customHeight="1">
      <c r="A555" s="59"/>
      <c r="B555" s="59"/>
      <c r="E555" s="8"/>
    </row>
    <row r="556" ht="15.75" customHeight="1">
      <c r="A556" s="59"/>
      <c r="B556" s="59"/>
      <c r="E556" s="8"/>
    </row>
    <row r="557" ht="15.75" customHeight="1">
      <c r="A557" s="59"/>
      <c r="B557" s="59"/>
      <c r="E557" s="8"/>
    </row>
    <row r="558" ht="15.75" customHeight="1">
      <c r="A558" s="59"/>
      <c r="B558" s="59"/>
      <c r="E558" s="8"/>
    </row>
    <row r="559" ht="15.75" customHeight="1">
      <c r="A559" s="59"/>
      <c r="B559" s="59"/>
      <c r="E559" s="8"/>
    </row>
    <row r="560" ht="15.75" customHeight="1">
      <c r="A560" s="59"/>
      <c r="B560" s="59"/>
      <c r="E560" s="8"/>
    </row>
    <row r="561" ht="15.75" customHeight="1">
      <c r="A561" s="59"/>
      <c r="B561" s="59"/>
      <c r="E561" s="8"/>
    </row>
    <row r="562" ht="15.75" customHeight="1">
      <c r="A562" s="59"/>
      <c r="B562" s="59"/>
      <c r="E562" s="8"/>
    </row>
    <row r="563" ht="15.75" customHeight="1">
      <c r="A563" s="59"/>
      <c r="B563" s="59"/>
      <c r="E563" s="8"/>
    </row>
    <row r="564" ht="15.75" customHeight="1">
      <c r="A564" s="59"/>
      <c r="B564" s="59"/>
      <c r="E564" s="8"/>
    </row>
    <row r="565" ht="15.75" customHeight="1">
      <c r="A565" s="59"/>
      <c r="B565" s="59"/>
      <c r="E565" s="8"/>
    </row>
    <row r="566" ht="15.75" customHeight="1">
      <c r="A566" s="59"/>
      <c r="B566" s="59"/>
      <c r="E566" s="8"/>
    </row>
    <row r="567" ht="15.75" customHeight="1">
      <c r="A567" s="59"/>
      <c r="B567" s="59"/>
      <c r="E567" s="8"/>
    </row>
    <row r="568" ht="15.75" customHeight="1">
      <c r="A568" s="59"/>
      <c r="B568" s="59"/>
      <c r="E568" s="8"/>
    </row>
    <row r="569" ht="15.75" customHeight="1">
      <c r="A569" s="59"/>
      <c r="B569" s="59"/>
      <c r="E569" s="8"/>
    </row>
    <row r="570" ht="15.75" customHeight="1">
      <c r="A570" s="59"/>
      <c r="B570" s="59"/>
      <c r="E570" s="8"/>
    </row>
    <row r="571" ht="15.75" customHeight="1">
      <c r="A571" s="59"/>
      <c r="B571" s="59"/>
      <c r="E571" s="8"/>
    </row>
    <row r="572" ht="15.75" customHeight="1">
      <c r="A572" s="59"/>
      <c r="B572" s="59"/>
      <c r="E572" s="8"/>
    </row>
    <row r="573" ht="15.75" customHeight="1">
      <c r="A573" s="59"/>
      <c r="B573" s="59"/>
      <c r="E573" s="8"/>
    </row>
    <row r="574" ht="15.75" customHeight="1">
      <c r="A574" s="59"/>
      <c r="B574" s="59"/>
      <c r="E574" s="8"/>
    </row>
    <row r="575" ht="15.75" customHeight="1">
      <c r="A575" s="59"/>
      <c r="B575" s="59"/>
      <c r="E575" s="8"/>
    </row>
    <row r="576" ht="15.75" customHeight="1">
      <c r="A576" s="59"/>
      <c r="B576" s="59"/>
      <c r="E576" s="8"/>
    </row>
    <row r="577" ht="15.75" customHeight="1">
      <c r="A577" s="59"/>
      <c r="B577" s="59"/>
      <c r="E577" s="8"/>
    </row>
    <row r="578" ht="15.75" customHeight="1">
      <c r="A578" s="59"/>
      <c r="B578" s="59"/>
      <c r="E578" s="8"/>
    </row>
    <row r="579" ht="15.75" customHeight="1">
      <c r="A579" s="59"/>
      <c r="B579" s="59"/>
      <c r="E579" s="8"/>
    </row>
    <row r="580" ht="15.75" customHeight="1">
      <c r="A580" s="59"/>
      <c r="B580" s="59"/>
      <c r="E580" s="8"/>
    </row>
    <row r="581" ht="15.75" customHeight="1">
      <c r="A581" s="59"/>
      <c r="B581" s="59"/>
      <c r="E581" s="8"/>
    </row>
    <row r="582" ht="15.75" customHeight="1">
      <c r="A582" s="59"/>
      <c r="B582" s="59"/>
      <c r="E582" s="8"/>
    </row>
    <row r="583" ht="15.75" customHeight="1">
      <c r="A583" s="59"/>
      <c r="B583" s="59"/>
      <c r="E583" s="8"/>
    </row>
    <row r="584" ht="15.75" customHeight="1">
      <c r="A584" s="59"/>
      <c r="B584" s="59"/>
      <c r="E584" s="8"/>
    </row>
    <row r="585" ht="15.75" customHeight="1">
      <c r="A585" s="59"/>
      <c r="B585" s="59"/>
      <c r="E585" s="8"/>
    </row>
    <row r="586" ht="15.75" customHeight="1">
      <c r="A586" s="59"/>
      <c r="B586" s="59"/>
      <c r="E586" s="8"/>
    </row>
    <row r="587" ht="15.75" customHeight="1">
      <c r="A587" s="59"/>
      <c r="B587" s="59"/>
      <c r="E587" s="8"/>
    </row>
    <row r="588" ht="15.75" customHeight="1">
      <c r="A588" s="59"/>
      <c r="B588" s="59"/>
      <c r="E588" s="8"/>
    </row>
    <row r="589" ht="15.75" customHeight="1">
      <c r="A589" s="59"/>
      <c r="B589" s="59"/>
      <c r="E589" s="8"/>
    </row>
    <row r="590" ht="15.75" customHeight="1">
      <c r="A590" s="59"/>
      <c r="B590" s="59"/>
      <c r="E590" s="8"/>
    </row>
    <row r="591" ht="15.75" customHeight="1">
      <c r="A591" s="59"/>
      <c r="B591" s="59"/>
      <c r="E591" s="8"/>
    </row>
    <row r="592" ht="15.75" customHeight="1">
      <c r="A592" s="59"/>
      <c r="B592" s="59"/>
      <c r="E592" s="8"/>
    </row>
    <row r="593" ht="15.75" customHeight="1">
      <c r="A593" s="59"/>
      <c r="B593" s="59"/>
      <c r="E593" s="8"/>
    </row>
    <row r="594" ht="15.75" customHeight="1">
      <c r="A594" s="59"/>
      <c r="B594" s="59"/>
      <c r="E594" s="8"/>
    </row>
    <row r="595" ht="15.75" customHeight="1">
      <c r="A595" s="59"/>
      <c r="B595" s="59"/>
      <c r="E595" s="8"/>
    </row>
    <row r="596" ht="15.75" customHeight="1">
      <c r="A596" s="59"/>
      <c r="B596" s="59"/>
      <c r="E596" s="8"/>
    </row>
    <row r="597" ht="15.75" customHeight="1">
      <c r="A597" s="59"/>
      <c r="B597" s="59"/>
      <c r="E597" s="8"/>
    </row>
    <row r="598" ht="15.75" customHeight="1">
      <c r="A598" s="59"/>
      <c r="B598" s="59"/>
      <c r="E598" s="8"/>
    </row>
    <row r="599" ht="15.75" customHeight="1">
      <c r="A599" s="59"/>
      <c r="B599" s="59"/>
      <c r="E599" s="8"/>
    </row>
    <row r="600" ht="15.75" customHeight="1">
      <c r="A600" s="59"/>
      <c r="B600" s="59"/>
      <c r="E600" s="8"/>
    </row>
    <row r="601" ht="15.75" customHeight="1">
      <c r="A601" s="59"/>
      <c r="B601" s="59"/>
      <c r="E601" s="8"/>
    </row>
    <row r="602" ht="15.75" customHeight="1">
      <c r="A602" s="59"/>
      <c r="B602" s="59"/>
      <c r="E602" s="8"/>
    </row>
    <row r="603" ht="15.75" customHeight="1">
      <c r="A603" s="59"/>
      <c r="B603" s="59"/>
      <c r="E603" s="8"/>
    </row>
    <row r="604" ht="15.75" customHeight="1">
      <c r="A604" s="59"/>
      <c r="B604" s="59"/>
      <c r="E604" s="8"/>
    </row>
    <row r="605" ht="15.75" customHeight="1">
      <c r="A605" s="59"/>
      <c r="B605" s="59"/>
      <c r="E605" s="8"/>
    </row>
    <row r="606" ht="15.75" customHeight="1">
      <c r="A606" s="59"/>
      <c r="B606" s="59"/>
      <c r="E606" s="8"/>
    </row>
    <row r="607" ht="15.75" customHeight="1">
      <c r="A607" s="59"/>
      <c r="B607" s="59"/>
      <c r="E607" s="8"/>
    </row>
    <row r="608" ht="15.75" customHeight="1">
      <c r="A608" s="59"/>
      <c r="B608" s="59"/>
      <c r="E608" s="8"/>
    </row>
    <row r="609" ht="15.75" customHeight="1">
      <c r="A609" s="59"/>
      <c r="B609" s="59"/>
      <c r="E609" s="8"/>
    </row>
    <row r="610" ht="15.75" customHeight="1">
      <c r="A610" s="59"/>
      <c r="B610" s="59"/>
      <c r="E610" s="8"/>
    </row>
    <row r="611" ht="15.75" customHeight="1">
      <c r="A611" s="59"/>
      <c r="B611" s="59"/>
      <c r="E611" s="8"/>
    </row>
    <row r="612" ht="15.75" customHeight="1">
      <c r="A612" s="59"/>
      <c r="B612" s="59"/>
      <c r="E612" s="8"/>
    </row>
    <row r="613" ht="15.75" customHeight="1">
      <c r="A613" s="59"/>
      <c r="B613" s="59"/>
      <c r="E613" s="8"/>
    </row>
    <row r="614" ht="15.75" customHeight="1">
      <c r="A614" s="59"/>
      <c r="B614" s="59"/>
      <c r="E614" s="8"/>
    </row>
    <row r="615" ht="15.75" customHeight="1">
      <c r="A615" s="59"/>
      <c r="B615" s="59"/>
      <c r="E615" s="8"/>
    </row>
    <row r="616" ht="15.75" customHeight="1">
      <c r="A616" s="59"/>
      <c r="B616" s="59"/>
      <c r="E616" s="8"/>
    </row>
    <row r="617" ht="15.75" customHeight="1">
      <c r="A617" s="59"/>
      <c r="B617" s="59"/>
      <c r="E617" s="8"/>
    </row>
    <row r="618" ht="15.75" customHeight="1">
      <c r="A618" s="59"/>
      <c r="B618" s="59"/>
      <c r="E618" s="8"/>
    </row>
    <row r="619" ht="15.75" customHeight="1">
      <c r="A619" s="59"/>
      <c r="B619" s="59"/>
      <c r="E619" s="8"/>
    </row>
    <row r="620" ht="15.75" customHeight="1">
      <c r="A620" s="59"/>
      <c r="B620" s="59"/>
      <c r="E620" s="8"/>
    </row>
    <row r="621" ht="15.75" customHeight="1">
      <c r="A621" s="59"/>
      <c r="B621" s="59"/>
      <c r="E621" s="8"/>
    </row>
    <row r="622" ht="15.75" customHeight="1">
      <c r="A622" s="59"/>
      <c r="B622" s="59"/>
      <c r="E622" s="8"/>
    </row>
    <row r="623" ht="15.75" customHeight="1">
      <c r="A623" s="59"/>
      <c r="B623" s="59"/>
      <c r="E623" s="8"/>
    </row>
    <row r="624" ht="15.75" customHeight="1">
      <c r="A624" s="59"/>
      <c r="B624" s="59"/>
      <c r="E624" s="8"/>
    </row>
    <row r="625" ht="15.75" customHeight="1">
      <c r="A625" s="59"/>
      <c r="B625" s="59"/>
      <c r="E625" s="8"/>
    </row>
    <row r="626" ht="15.75" customHeight="1">
      <c r="A626" s="59"/>
      <c r="B626" s="59"/>
      <c r="E626" s="8"/>
    </row>
    <row r="627" ht="15.75" customHeight="1">
      <c r="A627" s="59"/>
      <c r="B627" s="59"/>
      <c r="E627" s="8"/>
    </row>
    <row r="628" ht="15.75" customHeight="1">
      <c r="A628" s="59"/>
      <c r="B628" s="59"/>
      <c r="E628" s="8"/>
    </row>
    <row r="629" ht="15.75" customHeight="1">
      <c r="A629" s="59"/>
      <c r="B629" s="59"/>
      <c r="E629" s="8"/>
    </row>
    <row r="630" ht="15.75" customHeight="1">
      <c r="A630" s="59"/>
      <c r="B630" s="59"/>
      <c r="E630" s="8"/>
    </row>
    <row r="631" ht="15.75" customHeight="1">
      <c r="A631" s="59"/>
      <c r="B631" s="59"/>
      <c r="E631" s="8"/>
    </row>
    <row r="632" ht="15.75" customHeight="1">
      <c r="A632" s="59"/>
      <c r="B632" s="59"/>
      <c r="E632" s="8"/>
    </row>
    <row r="633" ht="15.75" customHeight="1">
      <c r="A633" s="59"/>
      <c r="B633" s="59"/>
      <c r="E633" s="8"/>
    </row>
    <row r="634" ht="15.75" customHeight="1">
      <c r="A634" s="59"/>
      <c r="B634" s="59"/>
      <c r="E634" s="8"/>
    </row>
    <row r="635" ht="15.75" customHeight="1">
      <c r="A635" s="59"/>
      <c r="B635" s="59"/>
      <c r="E635" s="8"/>
    </row>
    <row r="636" ht="15.75" customHeight="1">
      <c r="A636" s="59"/>
      <c r="B636" s="59"/>
      <c r="E636" s="8"/>
    </row>
    <row r="637" ht="15.75" customHeight="1">
      <c r="A637" s="59"/>
      <c r="B637" s="59"/>
      <c r="E637" s="8"/>
    </row>
    <row r="638" ht="15.75" customHeight="1">
      <c r="A638" s="59"/>
      <c r="B638" s="59"/>
      <c r="E638" s="8"/>
    </row>
    <row r="639" ht="15.75" customHeight="1">
      <c r="A639" s="59"/>
      <c r="B639" s="59"/>
      <c r="E639" s="8"/>
    </row>
    <row r="640" ht="15.75" customHeight="1">
      <c r="A640" s="59"/>
      <c r="B640" s="59"/>
      <c r="E640" s="8"/>
    </row>
    <row r="641" ht="15.75" customHeight="1">
      <c r="A641" s="59"/>
      <c r="B641" s="59"/>
      <c r="E641" s="8"/>
    </row>
    <row r="642" ht="15.75" customHeight="1">
      <c r="A642" s="59"/>
      <c r="B642" s="59"/>
      <c r="E642" s="8"/>
    </row>
    <row r="643" ht="15.75" customHeight="1">
      <c r="A643" s="59"/>
      <c r="B643" s="59"/>
      <c r="E643" s="8"/>
    </row>
    <row r="644" ht="15.75" customHeight="1">
      <c r="A644" s="59"/>
      <c r="B644" s="59"/>
      <c r="E644" s="8"/>
    </row>
    <row r="645" ht="15.75" customHeight="1">
      <c r="A645" s="59"/>
      <c r="B645" s="59"/>
      <c r="E645" s="8"/>
    </row>
    <row r="646" ht="15.75" customHeight="1">
      <c r="A646" s="59"/>
      <c r="B646" s="59"/>
      <c r="E646" s="8"/>
    </row>
    <row r="647" ht="15.75" customHeight="1">
      <c r="A647" s="59"/>
      <c r="B647" s="59"/>
      <c r="E647" s="8"/>
    </row>
    <row r="648" ht="15.75" customHeight="1">
      <c r="A648" s="59"/>
      <c r="B648" s="59"/>
      <c r="E648" s="8"/>
    </row>
    <row r="649" ht="15.75" customHeight="1">
      <c r="A649" s="59"/>
      <c r="B649" s="59"/>
      <c r="E649" s="8"/>
    </row>
    <row r="650" ht="15.75" customHeight="1">
      <c r="A650" s="59"/>
      <c r="B650" s="59"/>
      <c r="E650" s="8"/>
    </row>
    <row r="651" ht="15.75" customHeight="1">
      <c r="A651" s="59"/>
      <c r="B651" s="59"/>
      <c r="E651" s="8"/>
    </row>
    <row r="652" ht="15.75" customHeight="1">
      <c r="A652" s="59"/>
      <c r="B652" s="59"/>
      <c r="E652" s="8"/>
    </row>
    <row r="653" ht="15.75" customHeight="1">
      <c r="A653" s="59"/>
      <c r="B653" s="59"/>
      <c r="E653" s="8"/>
    </row>
    <row r="654" ht="15.75" customHeight="1">
      <c r="A654" s="59"/>
      <c r="B654" s="59"/>
      <c r="E654" s="8"/>
    </row>
    <row r="655" ht="15.75" customHeight="1">
      <c r="A655" s="59"/>
      <c r="B655" s="59"/>
      <c r="E655" s="8"/>
    </row>
    <row r="656" ht="15.75" customHeight="1">
      <c r="A656" s="59"/>
      <c r="B656" s="59"/>
      <c r="E656" s="8"/>
    </row>
    <row r="657" ht="15.75" customHeight="1">
      <c r="A657" s="59"/>
      <c r="B657" s="59"/>
      <c r="E657" s="8"/>
    </row>
    <row r="658" ht="15.75" customHeight="1">
      <c r="A658" s="59"/>
      <c r="B658" s="59"/>
      <c r="E658" s="8"/>
    </row>
    <row r="659" ht="15.75" customHeight="1">
      <c r="A659" s="59"/>
      <c r="B659" s="59"/>
      <c r="E659" s="8"/>
    </row>
    <row r="660" ht="15.75" customHeight="1">
      <c r="A660" s="59"/>
      <c r="B660" s="59"/>
      <c r="E660" s="8"/>
    </row>
    <row r="661" ht="15.75" customHeight="1">
      <c r="A661" s="59"/>
      <c r="B661" s="59"/>
      <c r="E661" s="8"/>
    </row>
    <row r="662" ht="15.75" customHeight="1">
      <c r="A662" s="59"/>
      <c r="B662" s="59"/>
      <c r="E662" s="8"/>
    </row>
    <row r="663" ht="15.75" customHeight="1">
      <c r="A663" s="59"/>
      <c r="B663" s="59"/>
      <c r="E663" s="8"/>
    </row>
    <row r="664" ht="15.75" customHeight="1">
      <c r="A664" s="59"/>
      <c r="B664" s="59"/>
      <c r="E664" s="8"/>
    </row>
    <row r="665" ht="15.75" customHeight="1">
      <c r="A665" s="59"/>
      <c r="B665" s="59"/>
      <c r="E665" s="8"/>
    </row>
    <row r="666" ht="15.75" customHeight="1">
      <c r="A666" s="59"/>
      <c r="B666" s="59"/>
      <c r="E666" s="8"/>
    </row>
    <row r="667" ht="15.75" customHeight="1">
      <c r="A667" s="59"/>
      <c r="B667" s="59"/>
      <c r="E667" s="8"/>
    </row>
    <row r="668" ht="15.75" customHeight="1">
      <c r="A668" s="59"/>
      <c r="B668" s="59"/>
      <c r="E668" s="8"/>
    </row>
    <row r="669" ht="15.75" customHeight="1">
      <c r="A669" s="59"/>
      <c r="B669" s="59"/>
      <c r="E669" s="8"/>
    </row>
    <row r="670" ht="15.75" customHeight="1">
      <c r="A670" s="59"/>
      <c r="B670" s="59"/>
      <c r="E670" s="8"/>
    </row>
    <row r="671" ht="15.75" customHeight="1">
      <c r="A671" s="59"/>
      <c r="B671" s="59"/>
      <c r="E671" s="8"/>
    </row>
    <row r="672" ht="15.75" customHeight="1">
      <c r="A672" s="59"/>
      <c r="B672" s="59"/>
      <c r="E672" s="8"/>
    </row>
    <row r="673" ht="15.75" customHeight="1">
      <c r="A673" s="59"/>
      <c r="B673" s="59"/>
      <c r="E673" s="8"/>
    </row>
    <row r="674" ht="15.75" customHeight="1">
      <c r="A674" s="59"/>
      <c r="B674" s="59"/>
      <c r="E674" s="8"/>
    </row>
    <row r="675" ht="15.75" customHeight="1">
      <c r="A675" s="59"/>
      <c r="B675" s="59"/>
      <c r="E675" s="8"/>
    </row>
    <row r="676" ht="15.75" customHeight="1">
      <c r="A676" s="59"/>
      <c r="B676" s="59"/>
      <c r="E676" s="8"/>
    </row>
    <row r="677" ht="15.75" customHeight="1">
      <c r="A677" s="59"/>
      <c r="B677" s="59"/>
      <c r="E677" s="8"/>
    </row>
    <row r="678" ht="15.75" customHeight="1">
      <c r="A678" s="59"/>
      <c r="B678" s="59"/>
      <c r="E678" s="8"/>
    </row>
    <row r="679" ht="15.75" customHeight="1">
      <c r="A679" s="59"/>
      <c r="B679" s="59"/>
      <c r="E679" s="8"/>
    </row>
    <row r="680" ht="15.75" customHeight="1">
      <c r="A680" s="59"/>
      <c r="B680" s="59"/>
      <c r="E680" s="8"/>
    </row>
    <row r="681" ht="15.75" customHeight="1">
      <c r="A681" s="59"/>
      <c r="B681" s="59"/>
      <c r="E681" s="8"/>
    </row>
    <row r="682" ht="15.75" customHeight="1">
      <c r="A682" s="59"/>
      <c r="B682" s="59"/>
      <c r="E682" s="8"/>
    </row>
    <row r="683" ht="15.75" customHeight="1">
      <c r="A683" s="59"/>
      <c r="B683" s="59"/>
      <c r="E683" s="8"/>
    </row>
    <row r="684" ht="15.75" customHeight="1">
      <c r="A684" s="59"/>
      <c r="B684" s="59"/>
      <c r="E684" s="8"/>
    </row>
    <row r="685" ht="15.75" customHeight="1">
      <c r="A685" s="59"/>
      <c r="B685" s="59"/>
      <c r="E685" s="8"/>
    </row>
    <row r="686" ht="15.75" customHeight="1">
      <c r="A686" s="59"/>
      <c r="B686" s="59"/>
      <c r="E686" s="8"/>
    </row>
    <row r="687" ht="15.75" customHeight="1">
      <c r="A687" s="59"/>
      <c r="B687" s="59"/>
      <c r="E687" s="8"/>
    </row>
    <row r="688" ht="15.75" customHeight="1">
      <c r="A688" s="59"/>
      <c r="B688" s="59"/>
      <c r="E688" s="8"/>
    </row>
    <row r="689" ht="15.75" customHeight="1">
      <c r="A689" s="59"/>
      <c r="B689" s="59"/>
      <c r="E689" s="8"/>
    </row>
    <row r="690" ht="15.75" customHeight="1">
      <c r="A690" s="59"/>
      <c r="B690" s="59"/>
      <c r="E690" s="8"/>
    </row>
    <row r="691" ht="15.75" customHeight="1">
      <c r="A691" s="59"/>
      <c r="B691" s="59"/>
      <c r="E691" s="8"/>
    </row>
    <row r="692" ht="15.75" customHeight="1">
      <c r="A692" s="59"/>
      <c r="B692" s="59"/>
      <c r="E692" s="8"/>
    </row>
    <row r="693" ht="15.75" customHeight="1">
      <c r="A693" s="59"/>
      <c r="B693" s="59"/>
      <c r="E693" s="8"/>
    </row>
    <row r="694" ht="15.75" customHeight="1">
      <c r="A694" s="59"/>
      <c r="B694" s="59"/>
      <c r="E694" s="8"/>
    </row>
    <row r="695" ht="15.75" customHeight="1">
      <c r="A695" s="59"/>
      <c r="B695" s="59"/>
      <c r="E695" s="8"/>
    </row>
    <row r="696" ht="15.75" customHeight="1">
      <c r="A696" s="59"/>
      <c r="B696" s="59"/>
      <c r="E696" s="8"/>
    </row>
    <row r="697" ht="15.75" customHeight="1">
      <c r="A697" s="59"/>
      <c r="B697" s="59"/>
      <c r="E697" s="8"/>
    </row>
    <row r="698" ht="15.75" customHeight="1">
      <c r="A698" s="59"/>
      <c r="B698" s="59"/>
      <c r="E698" s="8"/>
    </row>
    <row r="699" ht="15.75" customHeight="1">
      <c r="A699" s="59"/>
      <c r="B699" s="59"/>
      <c r="E699" s="8"/>
    </row>
    <row r="700" ht="15.75" customHeight="1">
      <c r="A700" s="59"/>
      <c r="B700" s="59"/>
      <c r="E700" s="8"/>
    </row>
    <row r="701" ht="15.75" customHeight="1">
      <c r="A701" s="59"/>
      <c r="B701" s="59"/>
      <c r="E701" s="8"/>
    </row>
    <row r="702" ht="15.75" customHeight="1">
      <c r="A702" s="59"/>
      <c r="B702" s="59"/>
      <c r="E702" s="8"/>
    </row>
    <row r="703" ht="15.75" customHeight="1">
      <c r="A703" s="59"/>
      <c r="B703" s="59"/>
      <c r="E703" s="8"/>
    </row>
    <row r="704" ht="15.75" customHeight="1">
      <c r="A704" s="59"/>
      <c r="B704" s="59"/>
      <c r="E704" s="8"/>
    </row>
    <row r="705" ht="15.75" customHeight="1">
      <c r="A705" s="59"/>
      <c r="B705" s="59"/>
      <c r="E705" s="8"/>
    </row>
    <row r="706" ht="15.75" customHeight="1">
      <c r="A706" s="59"/>
      <c r="B706" s="59"/>
      <c r="E706" s="8"/>
    </row>
    <row r="707" ht="15.75" customHeight="1">
      <c r="A707" s="59"/>
      <c r="B707" s="59"/>
      <c r="E707" s="8"/>
    </row>
    <row r="708" ht="15.75" customHeight="1">
      <c r="A708" s="59"/>
      <c r="B708" s="59"/>
      <c r="E708" s="8"/>
    </row>
    <row r="709" ht="15.75" customHeight="1">
      <c r="A709" s="59"/>
      <c r="B709" s="59"/>
      <c r="E709" s="8"/>
    </row>
    <row r="710" ht="15.75" customHeight="1">
      <c r="A710" s="59"/>
      <c r="B710" s="59"/>
      <c r="E710" s="8"/>
    </row>
    <row r="711" ht="15.75" customHeight="1">
      <c r="A711" s="59"/>
      <c r="B711" s="59"/>
      <c r="E711" s="8"/>
    </row>
    <row r="712" ht="15.75" customHeight="1">
      <c r="A712" s="59"/>
      <c r="B712" s="59"/>
      <c r="E712" s="8"/>
    </row>
    <row r="713" ht="15.75" customHeight="1">
      <c r="A713" s="59"/>
      <c r="B713" s="59"/>
      <c r="E713" s="8"/>
    </row>
    <row r="714" ht="15.75" customHeight="1">
      <c r="A714" s="59"/>
      <c r="B714" s="59"/>
      <c r="E714" s="8"/>
    </row>
    <row r="715" ht="15.75" customHeight="1">
      <c r="A715" s="59"/>
      <c r="B715" s="59"/>
      <c r="E715" s="8"/>
    </row>
    <row r="716" ht="15.75" customHeight="1">
      <c r="A716" s="59"/>
      <c r="B716" s="59"/>
      <c r="E716" s="8"/>
    </row>
    <row r="717" ht="15.75" customHeight="1">
      <c r="A717" s="59"/>
      <c r="B717" s="59"/>
      <c r="E717" s="8"/>
    </row>
    <row r="718" ht="15.75" customHeight="1">
      <c r="A718" s="59"/>
      <c r="B718" s="59"/>
      <c r="E718" s="8"/>
    </row>
    <row r="719" ht="15.75" customHeight="1">
      <c r="A719" s="59"/>
      <c r="B719" s="59"/>
      <c r="E719" s="8"/>
    </row>
    <row r="720" ht="15.75" customHeight="1">
      <c r="A720" s="59"/>
      <c r="B720" s="59"/>
      <c r="E720" s="8"/>
    </row>
    <row r="721" ht="15.75" customHeight="1">
      <c r="A721" s="59"/>
      <c r="B721" s="59"/>
      <c r="E721" s="8"/>
    </row>
    <row r="722" ht="15.75" customHeight="1">
      <c r="A722" s="59"/>
      <c r="B722" s="59"/>
      <c r="E722" s="8"/>
    </row>
    <row r="723" ht="15.75" customHeight="1">
      <c r="A723" s="59"/>
      <c r="B723" s="59"/>
      <c r="E723" s="8"/>
    </row>
    <row r="724" ht="15.75" customHeight="1">
      <c r="A724" s="59"/>
      <c r="B724" s="59"/>
      <c r="E724" s="8"/>
    </row>
    <row r="725" ht="15.75" customHeight="1">
      <c r="A725" s="59"/>
      <c r="B725" s="59"/>
      <c r="E725" s="8"/>
    </row>
    <row r="726" ht="15.75" customHeight="1">
      <c r="A726" s="59"/>
      <c r="B726" s="59"/>
      <c r="E726" s="8"/>
    </row>
    <row r="727" ht="15.75" customHeight="1">
      <c r="A727" s="59"/>
      <c r="B727" s="59"/>
      <c r="E727" s="8"/>
    </row>
    <row r="728" ht="15.75" customHeight="1">
      <c r="A728" s="59"/>
      <c r="B728" s="59"/>
      <c r="E728" s="8"/>
    </row>
    <row r="729" ht="15.75" customHeight="1">
      <c r="A729" s="59"/>
      <c r="B729" s="59"/>
      <c r="E729" s="8"/>
    </row>
    <row r="730" ht="15.75" customHeight="1">
      <c r="A730" s="59"/>
      <c r="B730" s="59"/>
      <c r="E730" s="8"/>
    </row>
    <row r="731" ht="15.75" customHeight="1">
      <c r="A731" s="59"/>
      <c r="B731" s="59"/>
      <c r="E731" s="8"/>
    </row>
    <row r="732" ht="15.75" customHeight="1">
      <c r="A732" s="59"/>
      <c r="B732" s="59"/>
      <c r="E732" s="8"/>
    </row>
    <row r="733" ht="15.75" customHeight="1">
      <c r="A733" s="59"/>
      <c r="B733" s="59"/>
      <c r="E733" s="8"/>
    </row>
    <row r="734" ht="15.75" customHeight="1">
      <c r="A734" s="59"/>
      <c r="B734" s="59"/>
      <c r="E734" s="8"/>
    </row>
    <row r="735" ht="15.75" customHeight="1">
      <c r="A735" s="59"/>
      <c r="B735" s="59"/>
      <c r="E735" s="8"/>
    </row>
    <row r="736" ht="15.75" customHeight="1">
      <c r="A736" s="59"/>
      <c r="B736" s="59"/>
      <c r="E736" s="8"/>
    </row>
    <row r="737" ht="15.75" customHeight="1">
      <c r="A737" s="59"/>
      <c r="B737" s="59"/>
      <c r="E737" s="8"/>
    </row>
    <row r="738" ht="15.75" customHeight="1">
      <c r="A738" s="59"/>
      <c r="B738" s="59"/>
      <c r="E738" s="8"/>
    </row>
    <row r="739" ht="15.75" customHeight="1">
      <c r="A739" s="59"/>
      <c r="B739" s="59"/>
      <c r="E739" s="8"/>
    </row>
    <row r="740" ht="15.75" customHeight="1">
      <c r="A740" s="59"/>
      <c r="B740" s="59"/>
      <c r="E740" s="8"/>
    </row>
    <row r="741" ht="15.75" customHeight="1">
      <c r="A741" s="59"/>
      <c r="B741" s="59"/>
      <c r="E741" s="8"/>
    </row>
    <row r="742" ht="15.75" customHeight="1">
      <c r="A742" s="59"/>
      <c r="B742" s="59"/>
      <c r="E742" s="8"/>
    </row>
    <row r="743" ht="15.75" customHeight="1">
      <c r="A743" s="59"/>
      <c r="B743" s="59"/>
      <c r="E743" s="8"/>
    </row>
    <row r="744" ht="15.75" customHeight="1">
      <c r="A744" s="59"/>
      <c r="B744" s="59"/>
      <c r="E744" s="8"/>
    </row>
    <row r="745" ht="15.75" customHeight="1">
      <c r="A745" s="59"/>
      <c r="B745" s="59"/>
      <c r="E745" s="8"/>
    </row>
    <row r="746" ht="15.75" customHeight="1">
      <c r="A746" s="59"/>
      <c r="B746" s="59"/>
      <c r="E746" s="8"/>
    </row>
    <row r="747" ht="15.75" customHeight="1">
      <c r="A747" s="59"/>
      <c r="B747" s="59"/>
      <c r="E747" s="8"/>
    </row>
    <row r="748" ht="15.75" customHeight="1">
      <c r="A748" s="59"/>
      <c r="B748" s="59"/>
      <c r="E748" s="8"/>
    </row>
    <row r="749" ht="15.75" customHeight="1">
      <c r="A749" s="59"/>
      <c r="B749" s="59"/>
      <c r="E749" s="8"/>
    </row>
    <row r="750" ht="15.75" customHeight="1">
      <c r="A750" s="59"/>
      <c r="B750" s="59"/>
      <c r="E750" s="8"/>
    </row>
    <row r="751" ht="15.75" customHeight="1">
      <c r="A751" s="59"/>
      <c r="B751" s="59"/>
      <c r="E751" s="8"/>
    </row>
    <row r="752" ht="15.75" customHeight="1">
      <c r="A752" s="59"/>
      <c r="B752" s="59"/>
      <c r="E752" s="8"/>
    </row>
    <row r="753" ht="15.75" customHeight="1">
      <c r="A753" s="59"/>
      <c r="B753" s="59"/>
      <c r="E753" s="8"/>
    </row>
    <row r="754" ht="15.75" customHeight="1">
      <c r="A754" s="59"/>
      <c r="B754" s="59"/>
      <c r="E754" s="8"/>
    </row>
    <row r="755" ht="15.75" customHeight="1">
      <c r="A755" s="59"/>
      <c r="B755" s="59"/>
      <c r="E755" s="8"/>
    </row>
    <row r="756" ht="15.75" customHeight="1">
      <c r="A756" s="59"/>
      <c r="B756" s="59"/>
      <c r="E756" s="8"/>
    </row>
    <row r="757" ht="15.75" customHeight="1">
      <c r="A757" s="59"/>
      <c r="B757" s="59"/>
      <c r="E757" s="8"/>
    </row>
    <row r="758" ht="15.75" customHeight="1">
      <c r="A758" s="59"/>
      <c r="B758" s="59"/>
      <c r="E758" s="8"/>
    </row>
    <row r="759" ht="15.75" customHeight="1">
      <c r="A759" s="59"/>
      <c r="B759" s="59"/>
      <c r="E759" s="8"/>
    </row>
    <row r="760" ht="15.75" customHeight="1">
      <c r="A760" s="59"/>
      <c r="B760" s="59"/>
      <c r="E760" s="8"/>
    </row>
    <row r="761" ht="15.75" customHeight="1">
      <c r="A761" s="59"/>
      <c r="B761" s="59"/>
      <c r="E761" s="8"/>
    </row>
    <row r="762" ht="15.75" customHeight="1">
      <c r="A762" s="59"/>
      <c r="B762" s="59"/>
      <c r="E762" s="8"/>
    </row>
    <row r="763" ht="15.75" customHeight="1">
      <c r="A763" s="59"/>
      <c r="B763" s="59"/>
      <c r="E763" s="8"/>
    </row>
    <row r="764" ht="15.75" customHeight="1">
      <c r="A764" s="59"/>
      <c r="B764" s="59"/>
      <c r="E764" s="8"/>
    </row>
    <row r="765" ht="15.75" customHeight="1">
      <c r="A765" s="59"/>
      <c r="B765" s="59"/>
      <c r="E765" s="8"/>
    </row>
    <row r="766" ht="15.75" customHeight="1">
      <c r="A766" s="59"/>
      <c r="B766" s="59"/>
      <c r="E766" s="8"/>
    </row>
    <row r="767" ht="15.75" customHeight="1">
      <c r="A767" s="59"/>
      <c r="B767" s="59"/>
      <c r="E767" s="8"/>
    </row>
    <row r="768" ht="15.75" customHeight="1">
      <c r="A768" s="59"/>
      <c r="B768" s="59"/>
      <c r="E768" s="8"/>
    </row>
    <row r="769" ht="15.75" customHeight="1">
      <c r="A769" s="59"/>
      <c r="B769" s="59"/>
      <c r="E769" s="8"/>
    </row>
    <row r="770" ht="15.75" customHeight="1">
      <c r="A770" s="59"/>
      <c r="B770" s="59"/>
      <c r="E770" s="8"/>
    </row>
    <row r="771" ht="15.75" customHeight="1">
      <c r="A771" s="59"/>
      <c r="B771" s="59"/>
      <c r="E771" s="8"/>
    </row>
    <row r="772" ht="15.75" customHeight="1">
      <c r="A772" s="59"/>
      <c r="B772" s="59"/>
      <c r="E772" s="8"/>
    </row>
    <row r="773" ht="15.75" customHeight="1">
      <c r="A773" s="59"/>
      <c r="B773" s="59"/>
      <c r="E773" s="8"/>
    </row>
    <row r="774" ht="15.75" customHeight="1">
      <c r="A774" s="59"/>
      <c r="B774" s="59"/>
      <c r="E774" s="8"/>
    </row>
    <row r="775" ht="15.75" customHeight="1">
      <c r="A775" s="59"/>
      <c r="B775" s="59"/>
      <c r="E775" s="8"/>
    </row>
    <row r="776" ht="15.75" customHeight="1">
      <c r="A776" s="59"/>
      <c r="B776" s="59"/>
      <c r="E776" s="8"/>
    </row>
    <row r="777" ht="15.75" customHeight="1">
      <c r="A777" s="59"/>
      <c r="B777" s="59"/>
      <c r="E777" s="8"/>
    </row>
    <row r="778" ht="15.75" customHeight="1">
      <c r="A778" s="59"/>
      <c r="B778" s="59"/>
      <c r="E778" s="8"/>
    </row>
    <row r="779" ht="15.75" customHeight="1">
      <c r="A779" s="59"/>
      <c r="B779" s="59"/>
      <c r="E779" s="8"/>
    </row>
    <row r="780" ht="15.75" customHeight="1">
      <c r="A780" s="59"/>
      <c r="B780" s="59"/>
      <c r="E780" s="8"/>
    </row>
    <row r="781" ht="15.75" customHeight="1">
      <c r="A781" s="59"/>
      <c r="B781" s="59"/>
      <c r="E781" s="8"/>
    </row>
    <row r="782" ht="15.75" customHeight="1">
      <c r="A782" s="59"/>
      <c r="B782" s="59"/>
      <c r="E782" s="8"/>
    </row>
    <row r="783" ht="15.75" customHeight="1">
      <c r="A783" s="59"/>
      <c r="B783" s="59"/>
      <c r="E783" s="8"/>
    </row>
    <row r="784" ht="15.75" customHeight="1">
      <c r="A784" s="59"/>
      <c r="B784" s="59"/>
      <c r="E784" s="8"/>
    </row>
    <row r="785" ht="15.75" customHeight="1">
      <c r="A785" s="59"/>
      <c r="B785" s="59"/>
      <c r="E785" s="8"/>
    </row>
    <row r="786" ht="15.75" customHeight="1">
      <c r="A786" s="59"/>
      <c r="B786" s="59"/>
      <c r="E786" s="8"/>
    </row>
    <row r="787" ht="15.75" customHeight="1">
      <c r="A787" s="59"/>
      <c r="B787" s="59"/>
      <c r="E787" s="8"/>
    </row>
    <row r="788" ht="15.75" customHeight="1">
      <c r="A788" s="59"/>
      <c r="B788" s="59"/>
      <c r="E788" s="8"/>
    </row>
    <row r="789" ht="15.75" customHeight="1">
      <c r="A789" s="59"/>
      <c r="B789" s="59"/>
      <c r="E789" s="8"/>
    </row>
    <row r="790" ht="15.75" customHeight="1">
      <c r="A790" s="59"/>
      <c r="B790" s="59"/>
      <c r="E790" s="8"/>
    </row>
    <row r="791" ht="15.75" customHeight="1">
      <c r="A791" s="59"/>
      <c r="B791" s="59"/>
      <c r="E791" s="8"/>
    </row>
    <row r="792" ht="15.75" customHeight="1">
      <c r="A792" s="59"/>
      <c r="B792" s="59"/>
      <c r="E792" s="8"/>
    </row>
    <row r="793" ht="15.75" customHeight="1">
      <c r="A793" s="59"/>
      <c r="B793" s="59"/>
      <c r="E793" s="8"/>
    </row>
    <row r="794" ht="15.75" customHeight="1">
      <c r="A794" s="59"/>
      <c r="B794" s="59"/>
      <c r="E794" s="8"/>
    </row>
    <row r="795" ht="15.75" customHeight="1">
      <c r="A795" s="59"/>
      <c r="B795" s="59"/>
      <c r="E795" s="8"/>
    </row>
    <row r="796" ht="15.75" customHeight="1">
      <c r="A796" s="59"/>
      <c r="B796" s="59"/>
      <c r="E796" s="8"/>
    </row>
    <row r="797" ht="15.75" customHeight="1">
      <c r="A797" s="59"/>
      <c r="B797" s="59"/>
      <c r="E797" s="8"/>
    </row>
    <row r="798" ht="15.75" customHeight="1">
      <c r="A798" s="59"/>
      <c r="B798" s="59"/>
      <c r="E798" s="8"/>
    </row>
    <row r="799" ht="15.75" customHeight="1">
      <c r="A799" s="59"/>
      <c r="B799" s="59"/>
      <c r="E799" s="8"/>
    </row>
    <row r="800" ht="15.75" customHeight="1">
      <c r="A800" s="59"/>
      <c r="B800" s="59"/>
      <c r="E800" s="8"/>
    </row>
    <row r="801" ht="15.75" customHeight="1">
      <c r="A801" s="59"/>
      <c r="B801" s="59"/>
      <c r="E801" s="8"/>
    </row>
    <row r="802" ht="15.75" customHeight="1">
      <c r="A802" s="59"/>
      <c r="B802" s="59"/>
      <c r="E802" s="8"/>
    </row>
    <row r="803" ht="15.75" customHeight="1">
      <c r="A803" s="59"/>
      <c r="B803" s="59"/>
      <c r="E803" s="8"/>
    </row>
    <row r="804" ht="15.75" customHeight="1">
      <c r="A804" s="59"/>
      <c r="B804" s="59"/>
      <c r="E804" s="8"/>
    </row>
    <row r="805" ht="15.75" customHeight="1">
      <c r="A805" s="59"/>
      <c r="B805" s="59"/>
      <c r="E805" s="8"/>
    </row>
    <row r="806" ht="15.75" customHeight="1">
      <c r="A806" s="59"/>
      <c r="B806" s="59"/>
      <c r="E806" s="8"/>
    </row>
    <row r="807" ht="15.75" customHeight="1">
      <c r="A807" s="59"/>
      <c r="B807" s="59"/>
      <c r="E807" s="8"/>
    </row>
    <row r="808" ht="15.75" customHeight="1">
      <c r="A808" s="59"/>
      <c r="B808" s="59"/>
      <c r="E808" s="8"/>
    </row>
    <row r="809" ht="15.75" customHeight="1">
      <c r="A809" s="59"/>
      <c r="B809" s="59"/>
      <c r="E809" s="8"/>
    </row>
    <row r="810" ht="15.75" customHeight="1">
      <c r="A810" s="59"/>
      <c r="B810" s="59"/>
      <c r="E810" s="8"/>
    </row>
    <row r="811" ht="15.75" customHeight="1">
      <c r="A811" s="59"/>
      <c r="B811" s="59"/>
      <c r="E811" s="8"/>
    </row>
    <row r="812" ht="15.75" customHeight="1">
      <c r="A812" s="59"/>
      <c r="B812" s="59"/>
      <c r="E812" s="8"/>
    </row>
    <row r="813" ht="15.75" customHeight="1">
      <c r="A813" s="59"/>
      <c r="B813" s="59"/>
      <c r="E813" s="8"/>
    </row>
    <row r="814" ht="15.75" customHeight="1">
      <c r="A814" s="59"/>
      <c r="B814" s="59"/>
      <c r="E814" s="8"/>
    </row>
    <row r="815" ht="15.75" customHeight="1">
      <c r="A815" s="59"/>
      <c r="B815" s="59"/>
      <c r="E815" s="8"/>
    </row>
    <row r="816" ht="15.75" customHeight="1">
      <c r="A816" s="59"/>
      <c r="B816" s="59"/>
      <c r="E816" s="8"/>
    </row>
    <row r="817" ht="15.75" customHeight="1">
      <c r="A817" s="59"/>
      <c r="B817" s="59"/>
      <c r="E817" s="8"/>
    </row>
    <row r="818" ht="15.75" customHeight="1">
      <c r="A818" s="59"/>
      <c r="B818" s="59"/>
      <c r="E818" s="8"/>
    </row>
    <row r="819" ht="15.75" customHeight="1">
      <c r="A819" s="59"/>
      <c r="B819" s="59"/>
      <c r="E819" s="8"/>
    </row>
    <row r="820" ht="15.75" customHeight="1">
      <c r="A820" s="59"/>
      <c r="B820" s="59"/>
      <c r="E820" s="8"/>
    </row>
    <row r="821" ht="15.75" customHeight="1">
      <c r="A821" s="59"/>
      <c r="B821" s="59"/>
      <c r="E821" s="8"/>
    </row>
    <row r="822" ht="15.75" customHeight="1">
      <c r="A822" s="59"/>
      <c r="B822" s="59"/>
      <c r="E822" s="8"/>
    </row>
    <row r="823" ht="15.75" customHeight="1">
      <c r="A823" s="59"/>
      <c r="B823" s="59"/>
      <c r="E823" s="8"/>
    </row>
    <row r="824" ht="15.75" customHeight="1">
      <c r="A824" s="59"/>
      <c r="B824" s="59"/>
      <c r="E824" s="8"/>
    </row>
    <row r="825" ht="15.75" customHeight="1">
      <c r="A825" s="59"/>
      <c r="B825" s="59"/>
      <c r="E825" s="8"/>
    </row>
    <row r="826" ht="15.75" customHeight="1">
      <c r="A826" s="59"/>
      <c r="B826" s="59"/>
      <c r="E826" s="8"/>
    </row>
    <row r="827" ht="15.75" customHeight="1">
      <c r="A827" s="59"/>
      <c r="B827" s="59"/>
      <c r="E827" s="8"/>
    </row>
    <row r="828" ht="15.75" customHeight="1">
      <c r="A828" s="59"/>
      <c r="B828" s="59"/>
      <c r="E828" s="8"/>
    </row>
    <row r="829" ht="15.75" customHeight="1">
      <c r="A829" s="59"/>
      <c r="B829" s="59"/>
      <c r="E829" s="8"/>
    </row>
    <row r="830" ht="15.75" customHeight="1">
      <c r="A830" s="59"/>
      <c r="B830" s="59"/>
      <c r="E830" s="8"/>
    </row>
    <row r="831" ht="15.75" customHeight="1">
      <c r="A831" s="59"/>
      <c r="B831" s="59"/>
      <c r="E831" s="8"/>
    </row>
    <row r="832" ht="15.75" customHeight="1">
      <c r="A832" s="59"/>
      <c r="B832" s="59"/>
      <c r="E832" s="8"/>
    </row>
    <row r="833" ht="15.75" customHeight="1">
      <c r="A833" s="59"/>
      <c r="B833" s="59"/>
      <c r="E833" s="8"/>
    </row>
    <row r="834" ht="15.75" customHeight="1">
      <c r="A834" s="59"/>
      <c r="B834" s="59"/>
      <c r="E834" s="8"/>
    </row>
    <row r="835" ht="15.75" customHeight="1">
      <c r="A835" s="59"/>
      <c r="B835" s="59"/>
      <c r="E835" s="8"/>
    </row>
    <row r="836" ht="15.75" customHeight="1">
      <c r="A836" s="59"/>
      <c r="B836" s="59"/>
      <c r="E836" s="8"/>
    </row>
    <row r="837" ht="15.75" customHeight="1">
      <c r="A837" s="59"/>
      <c r="B837" s="59"/>
      <c r="E837" s="8"/>
    </row>
    <row r="838" ht="15.75" customHeight="1">
      <c r="A838" s="59"/>
      <c r="B838" s="59"/>
      <c r="E838" s="8"/>
    </row>
    <row r="839" ht="15.75" customHeight="1">
      <c r="A839" s="59"/>
      <c r="B839" s="59"/>
      <c r="E839" s="8"/>
    </row>
    <row r="840" ht="15.75" customHeight="1">
      <c r="A840" s="59"/>
      <c r="B840" s="59"/>
      <c r="E840" s="8"/>
    </row>
    <row r="841" ht="15.75" customHeight="1">
      <c r="A841" s="59"/>
      <c r="B841" s="59"/>
      <c r="E841" s="8"/>
    </row>
    <row r="842" ht="15.75" customHeight="1">
      <c r="A842" s="59"/>
      <c r="B842" s="59"/>
      <c r="E842" s="8"/>
    </row>
    <row r="843" ht="15.75" customHeight="1">
      <c r="A843" s="59"/>
      <c r="B843" s="59"/>
      <c r="E843" s="8"/>
    </row>
    <row r="844" ht="15.75" customHeight="1">
      <c r="A844" s="59"/>
      <c r="B844" s="59"/>
      <c r="E844" s="8"/>
    </row>
    <row r="845" ht="15.75" customHeight="1">
      <c r="A845" s="59"/>
      <c r="B845" s="59"/>
      <c r="E845" s="8"/>
    </row>
    <row r="846" ht="15.75" customHeight="1">
      <c r="A846" s="59"/>
      <c r="B846" s="59"/>
      <c r="E846" s="8"/>
    </row>
    <row r="847" ht="15.75" customHeight="1">
      <c r="A847" s="59"/>
      <c r="B847" s="59"/>
      <c r="E847" s="8"/>
    </row>
    <row r="848" ht="15.75" customHeight="1">
      <c r="A848" s="59"/>
      <c r="B848" s="59"/>
      <c r="E848" s="8"/>
    </row>
    <row r="849" ht="15.75" customHeight="1">
      <c r="A849" s="59"/>
      <c r="B849" s="59"/>
      <c r="E849" s="8"/>
    </row>
    <row r="850" ht="15.75" customHeight="1">
      <c r="A850" s="59"/>
      <c r="B850" s="59"/>
      <c r="E850" s="8"/>
    </row>
    <row r="851" ht="15.75" customHeight="1">
      <c r="A851" s="59"/>
      <c r="B851" s="59"/>
      <c r="E851" s="8"/>
    </row>
    <row r="852" ht="15.75" customHeight="1">
      <c r="A852" s="59"/>
      <c r="B852" s="59"/>
      <c r="E852" s="8"/>
    </row>
    <row r="853" ht="15.75" customHeight="1">
      <c r="A853" s="59"/>
      <c r="B853" s="59"/>
      <c r="E853" s="8"/>
    </row>
    <row r="854" ht="15.75" customHeight="1">
      <c r="A854" s="59"/>
      <c r="B854" s="59"/>
      <c r="E854" s="8"/>
    </row>
    <row r="855" ht="15.75" customHeight="1">
      <c r="A855" s="59"/>
      <c r="B855" s="59"/>
      <c r="E855" s="8"/>
    </row>
    <row r="856" ht="15.75" customHeight="1">
      <c r="A856" s="59"/>
      <c r="B856" s="59"/>
      <c r="E856" s="8"/>
    </row>
    <row r="857" ht="15.75" customHeight="1">
      <c r="A857" s="59"/>
      <c r="B857" s="59"/>
      <c r="E857" s="8"/>
    </row>
    <row r="858" ht="15.75" customHeight="1">
      <c r="A858" s="59"/>
      <c r="B858" s="59"/>
      <c r="E858" s="8"/>
    </row>
    <row r="859" ht="15.75" customHeight="1">
      <c r="A859" s="59"/>
      <c r="B859" s="59"/>
      <c r="E859" s="8"/>
    </row>
    <row r="860" ht="15.75" customHeight="1">
      <c r="A860" s="59"/>
      <c r="B860" s="59"/>
      <c r="E860" s="8"/>
    </row>
    <row r="861" ht="15.75" customHeight="1">
      <c r="A861" s="59"/>
      <c r="B861" s="59"/>
      <c r="E861" s="8"/>
    </row>
    <row r="862" ht="15.75" customHeight="1">
      <c r="A862" s="59"/>
      <c r="B862" s="59"/>
      <c r="E862" s="8"/>
    </row>
    <row r="863" ht="15.75" customHeight="1">
      <c r="A863" s="59"/>
      <c r="B863" s="59"/>
      <c r="E863" s="8"/>
    </row>
    <row r="864" ht="15.75" customHeight="1">
      <c r="A864" s="59"/>
      <c r="B864" s="59"/>
      <c r="E864" s="8"/>
    </row>
    <row r="865" ht="15.75" customHeight="1">
      <c r="A865" s="59"/>
      <c r="B865" s="59"/>
      <c r="E865" s="8"/>
    </row>
    <row r="866" ht="15.75" customHeight="1">
      <c r="A866" s="59"/>
      <c r="B866" s="59"/>
      <c r="E866" s="8"/>
    </row>
    <row r="867" ht="15.75" customHeight="1">
      <c r="A867" s="59"/>
      <c r="B867" s="59"/>
      <c r="E867" s="8"/>
    </row>
    <row r="868" ht="15.75" customHeight="1">
      <c r="A868" s="59"/>
      <c r="B868" s="59"/>
      <c r="E868" s="8"/>
    </row>
    <row r="869" ht="15.75" customHeight="1">
      <c r="A869" s="59"/>
      <c r="B869" s="59"/>
      <c r="E869" s="8"/>
    </row>
    <row r="870" ht="15.75" customHeight="1">
      <c r="A870" s="59"/>
      <c r="B870" s="59"/>
      <c r="E870" s="8"/>
    </row>
    <row r="871" ht="15.75" customHeight="1">
      <c r="A871" s="59"/>
      <c r="B871" s="59"/>
      <c r="E871" s="8"/>
    </row>
    <row r="872" ht="15.75" customHeight="1">
      <c r="A872" s="59"/>
      <c r="B872" s="59"/>
      <c r="E872" s="8"/>
    </row>
    <row r="873" ht="15.75" customHeight="1">
      <c r="A873" s="59"/>
      <c r="B873" s="59"/>
      <c r="E873" s="8"/>
    </row>
    <row r="874" ht="15.75" customHeight="1">
      <c r="A874" s="59"/>
      <c r="B874" s="59"/>
      <c r="E874" s="8"/>
    </row>
    <row r="875" ht="15.75" customHeight="1">
      <c r="A875" s="59"/>
      <c r="B875" s="59"/>
      <c r="E875" s="8"/>
    </row>
    <row r="876" ht="15.75" customHeight="1">
      <c r="A876" s="59"/>
      <c r="B876" s="59"/>
      <c r="E876" s="8"/>
    </row>
    <row r="877" ht="15.75" customHeight="1">
      <c r="A877" s="59"/>
      <c r="B877" s="59"/>
      <c r="E877" s="8"/>
    </row>
    <row r="878" ht="15.75" customHeight="1">
      <c r="A878" s="59"/>
      <c r="B878" s="59"/>
      <c r="E878" s="8"/>
    </row>
    <row r="879" ht="15.75" customHeight="1">
      <c r="A879" s="59"/>
      <c r="B879" s="59"/>
      <c r="E879" s="8"/>
    </row>
    <row r="880" ht="15.75" customHeight="1">
      <c r="A880" s="59"/>
      <c r="B880" s="59"/>
      <c r="E880" s="8"/>
    </row>
    <row r="881" ht="15.75" customHeight="1">
      <c r="A881" s="59"/>
      <c r="B881" s="59"/>
      <c r="E881" s="8"/>
    </row>
    <row r="882" ht="15.75" customHeight="1">
      <c r="A882" s="59"/>
      <c r="B882" s="59"/>
      <c r="E882" s="8"/>
    </row>
    <row r="883" ht="15.75" customHeight="1">
      <c r="A883" s="59"/>
      <c r="B883" s="59"/>
      <c r="E883" s="8"/>
    </row>
    <row r="884" ht="15.75" customHeight="1">
      <c r="A884" s="59"/>
      <c r="B884" s="59"/>
      <c r="E884" s="8"/>
    </row>
    <row r="885" ht="15.75" customHeight="1">
      <c r="A885" s="59"/>
      <c r="B885" s="59"/>
      <c r="E885" s="8"/>
    </row>
    <row r="886" ht="15.75" customHeight="1">
      <c r="A886" s="59"/>
      <c r="B886" s="59"/>
      <c r="E886" s="8"/>
    </row>
    <row r="887" ht="15.75" customHeight="1">
      <c r="A887" s="59"/>
      <c r="B887" s="59"/>
      <c r="E887" s="8"/>
    </row>
    <row r="888" ht="15.75" customHeight="1">
      <c r="A888" s="59"/>
      <c r="B888" s="59"/>
      <c r="E888" s="8"/>
    </row>
    <row r="889" ht="15.75" customHeight="1">
      <c r="A889" s="59"/>
      <c r="B889" s="59"/>
      <c r="E889" s="8"/>
    </row>
    <row r="890" ht="15.75" customHeight="1">
      <c r="A890" s="59"/>
      <c r="B890" s="59"/>
      <c r="E890" s="8"/>
    </row>
    <row r="891" ht="15.75" customHeight="1">
      <c r="A891" s="59"/>
      <c r="B891" s="59"/>
      <c r="E891" s="8"/>
    </row>
    <row r="892" ht="15.75" customHeight="1">
      <c r="A892" s="59"/>
      <c r="B892" s="59"/>
      <c r="E892" s="8"/>
    </row>
    <row r="893" ht="15.75" customHeight="1">
      <c r="A893" s="59"/>
      <c r="B893" s="59"/>
      <c r="E893" s="8"/>
    </row>
    <row r="894" ht="15.75" customHeight="1">
      <c r="A894" s="59"/>
      <c r="B894" s="59"/>
      <c r="E894" s="8"/>
    </row>
    <row r="895" ht="15.75" customHeight="1">
      <c r="A895" s="59"/>
      <c r="B895" s="59"/>
      <c r="E895" s="8"/>
    </row>
    <row r="896" ht="15.75" customHeight="1">
      <c r="A896" s="59"/>
      <c r="B896" s="59"/>
      <c r="E896" s="8"/>
    </row>
    <row r="897" ht="15.75" customHeight="1">
      <c r="A897" s="59"/>
      <c r="B897" s="59"/>
      <c r="E897" s="8"/>
    </row>
    <row r="898" ht="15.75" customHeight="1">
      <c r="A898" s="59"/>
      <c r="B898" s="59"/>
      <c r="E898" s="8"/>
    </row>
    <row r="899" ht="15.75" customHeight="1">
      <c r="A899" s="59"/>
      <c r="B899" s="59"/>
      <c r="E899" s="8"/>
    </row>
    <row r="900" ht="15.75" customHeight="1">
      <c r="A900" s="59"/>
      <c r="B900" s="59"/>
      <c r="E900" s="8"/>
    </row>
    <row r="901" ht="15.75" customHeight="1">
      <c r="A901" s="59"/>
      <c r="B901" s="59"/>
      <c r="E901" s="8"/>
    </row>
    <row r="902" ht="15.75" customHeight="1">
      <c r="A902" s="59"/>
      <c r="B902" s="59"/>
      <c r="E902" s="8"/>
    </row>
    <row r="903" ht="15.75" customHeight="1">
      <c r="A903" s="59"/>
      <c r="B903" s="59"/>
      <c r="E903" s="8"/>
    </row>
    <row r="904" ht="15.75" customHeight="1">
      <c r="A904" s="59"/>
      <c r="B904" s="59"/>
      <c r="E904" s="8"/>
    </row>
    <row r="905" ht="15.75" customHeight="1">
      <c r="A905" s="59"/>
      <c r="B905" s="59"/>
      <c r="E905" s="8"/>
    </row>
    <row r="906" ht="15.75" customHeight="1">
      <c r="A906" s="59"/>
      <c r="B906" s="59"/>
      <c r="E906" s="8"/>
    </row>
    <row r="907" ht="15.75" customHeight="1">
      <c r="A907" s="59"/>
      <c r="B907" s="59"/>
      <c r="E907" s="8"/>
    </row>
    <row r="908" ht="15.75" customHeight="1">
      <c r="A908" s="59"/>
      <c r="B908" s="59"/>
      <c r="E908" s="8"/>
    </row>
    <row r="909" ht="15.75" customHeight="1">
      <c r="A909" s="59"/>
      <c r="B909" s="59"/>
      <c r="E909" s="8"/>
    </row>
    <row r="910" ht="15.75" customHeight="1">
      <c r="A910" s="59"/>
      <c r="B910" s="59"/>
      <c r="E910" s="8"/>
    </row>
    <row r="911" ht="15.75" customHeight="1">
      <c r="A911" s="59"/>
      <c r="B911" s="59"/>
      <c r="E911" s="8"/>
    </row>
    <row r="912" ht="15.75" customHeight="1">
      <c r="A912" s="59"/>
      <c r="B912" s="59"/>
      <c r="E912" s="8"/>
    </row>
    <row r="913" ht="15.75" customHeight="1">
      <c r="A913" s="59"/>
      <c r="B913" s="59"/>
      <c r="E913" s="8"/>
    </row>
    <row r="914" ht="15.75" customHeight="1">
      <c r="A914" s="59"/>
      <c r="B914" s="59"/>
      <c r="E914" s="8"/>
    </row>
    <row r="915" ht="15.75" customHeight="1">
      <c r="A915" s="59"/>
      <c r="B915" s="59"/>
      <c r="E915" s="8"/>
    </row>
    <row r="916" ht="15.75" customHeight="1">
      <c r="A916" s="59"/>
      <c r="B916" s="59"/>
      <c r="E916" s="8"/>
    </row>
    <row r="917" ht="15.75" customHeight="1">
      <c r="A917" s="59"/>
      <c r="B917" s="59"/>
      <c r="E917" s="8"/>
    </row>
    <row r="918" ht="15.75" customHeight="1">
      <c r="A918" s="59"/>
      <c r="B918" s="59"/>
      <c r="E918" s="8"/>
    </row>
    <row r="919" ht="15.75" customHeight="1">
      <c r="A919" s="59"/>
      <c r="B919" s="59"/>
      <c r="E919" s="8"/>
    </row>
    <row r="920" ht="15.75" customHeight="1">
      <c r="A920" s="59"/>
      <c r="B920" s="59"/>
      <c r="E920" s="8"/>
    </row>
    <row r="921" ht="15.75" customHeight="1">
      <c r="A921" s="59"/>
      <c r="B921" s="59"/>
      <c r="E921" s="8"/>
    </row>
    <row r="922" ht="15.75" customHeight="1">
      <c r="A922" s="59"/>
      <c r="B922" s="59"/>
      <c r="E922" s="8"/>
    </row>
    <row r="923" ht="15.75" customHeight="1">
      <c r="A923" s="59"/>
      <c r="B923" s="59"/>
      <c r="E923" s="8"/>
    </row>
    <row r="924" ht="15.75" customHeight="1">
      <c r="A924" s="59"/>
      <c r="B924" s="59"/>
      <c r="E924" s="8"/>
    </row>
    <row r="925" ht="15.75" customHeight="1">
      <c r="A925" s="59"/>
      <c r="B925" s="59"/>
      <c r="E925" s="8"/>
    </row>
    <row r="926" ht="15.75" customHeight="1">
      <c r="A926" s="59"/>
      <c r="B926" s="59"/>
      <c r="E926" s="8"/>
    </row>
    <row r="927" ht="15.75" customHeight="1">
      <c r="A927" s="59"/>
      <c r="B927" s="59"/>
      <c r="E927" s="8"/>
    </row>
    <row r="928" ht="15.75" customHeight="1">
      <c r="A928" s="59"/>
      <c r="B928" s="59"/>
      <c r="E928" s="8"/>
    </row>
    <row r="929" ht="15.75" customHeight="1">
      <c r="A929" s="59"/>
      <c r="B929" s="59"/>
      <c r="E929" s="8"/>
    </row>
    <row r="930" ht="15.75" customHeight="1">
      <c r="A930" s="59"/>
      <c r="B930" s="59"/>
      <c r="E930" s="8"/>
    </row>
    <row r="931" ht="15.75" customHeight="1">
      <c r="A931" s="59"/>
      <c r="B931" s="59"/>
      <c r="E931" s="8"/>
    </row>
    <row r="932" ht="15.75" customHeight="1">
      <c r="A932" s="59"/>
      <c r="B932" s="59"/>
      <c r="E932" s="8"/>
    </row>
    <row r="933" ht="15.75" customHeight="1">
      <c r="A933" s="59"/>
      <c r="B933" s="59"/>
      <c r="E933" s="8"/>
    </row>
    <row r="934" ht="15.75" customHeight="1">
      <c r="A934" s="59"/>
      <c r="B934" s="59"/>
      <c r="E934" s="8"/>
    </row>
    <row r="935" ht="15.75" customHeight="1">
      <c r="A935" s="59"/>
      <c r="B935" s="59"/>
      <c r="E935" s="8"/>
    </row>
    <row r="936" ht="15.75" customHeight="1">
      <c r="A936" s="59"/>
      <c r="B936" s="59"/>
      <c r="E936" s="8"/>
    </row>
    <row r="937" ht="15.75" customHeight="1">
      <c r="A937" s="59"/>
      <c r="B937" s="59"/>
      <c r="E937" s="8"/>
    </row>
    <row r="938" ht="15.75" customHeight="1">
      <c r="A938" s="59"/>
      <c r="B938" s="59"/>
      <c r="E938" s="8"/>
    </row>
    <row r="939" ht="15.75" customHeight="1">
      <c r="A939" s="59"/>
      <c r="B939" s="59"/>
      <c r="E939" s="8"/>
    </row>
    <row r="940" ht="15.75" customHeight="1">
      <c r="A940" s="59"/>
      <c r="B940" s="59"/>
      <c r="E940" s="8"/>
    </row>
    <row r="941" ht="15.75" customHeight="1">
      <c r="A941" s="59"/>
      <c r="B941" s="59"/>
      <c r="E941" s="8"/>
    </row>
    <row r="942" ht="15.75" customHeight="1">
      <c r="A942" s="59"/>
      <c r="B942" s="59"/>
      <c r="E942" s="8"/>
    </row>
    <row r="943" ht="15.75" customHeight="1">
      <c r="A943" s="59"/>
      <c r="B943" s="59"/>
      <c r="E943" s="8"/>
    </row>
    <row r="944" ht="15.75" customHeight="1">
      <c r="A944" s="59"/>
      <c r="B944" s="59"/>
      <c r="E944" s="8"/>
    </row>
    <row r="945" ht="15.75" customHeight="1">
      <c r="A945" s="59"/>
      <c r="B945" s="59"/>
      <c r="E945" s="8"/>
    </row>
    <row r="946" ht="15.75" customHeight="1">
      <c r="A946" s="59"/>
      <c r="B946" s="59"/>
      <c r="E946" s="8"/>
    </row>
    <row r="947" ht="15.75" customHeight="1">
      <c r="A947" s="59"/>
      <c r="B947" s="59"/>
      <c r="E947" s="8"/>
    </row>
    <row r="948" ht="15.75" customHeight="1">
      <c r="A948" s="59"/>
      <c r="B948" s="59"/>
      <c r="E948" s="8"/>
    </row>
    <row r="949" ht="15.75" customHeight="1">
      <c r="A949" s="59"/>
      <c r="B949" s="59"/>
      <c r="E949" s="8"/>
    </row>
    <row r="950" ht="15.75" customHeight="1">
      <c r="A950" s="59"/>
      <c r="B950" s="59"/>
      <c r="E950" s="8"/>
    </row>
    <row r="951" ht="15.75" customHeight="1">
      <c r="A951" s="59"/>
      <c r="B951" s="59"/>
      <c r="E951" s="8"/>
    </row>
    <row r="952" ht="15.75" customHeight="1">
      <c r="A952" s="59"/>
      <c r="B952" s="59"/>
      <c r="E952" s="8"/>
    </row>
    <row r="953" ht="15.75" customHeight="1">
      <c r="A953" s="59"/>
      <c r="B953" s="59"/>
      <c r="E953" s="8"/>
    </row>
    <row r="954" ht="15.75" customHeight="1">
      <c r="A954" s="59"/>
      <c r="B954" s="59"/>
      <c r="E954" s="8"/>
    </row>
    <row r="955" ht="15.75" customHeight="1">
      <c r="A955" s="59"/>
      <c r="B955" s="59"/>
      <c r="E955" s="8"/>
    </row>
    <row r="956" ht="15.75" customHeight="1">
      <c r="A956" s="59"/>
      <c r="B956" s="59"/>
      <c r="E956" s="8"/>
    </row>
    <row r="957" ht="15.75" customHeight="1">
      <c r="A957" s="59"/>
      <c r="B957" s="59"/>
      <c r="E957" s="8"/>
    </row>
    <row r="958" ht="15.75" customHeight="1">
      <c r="A958" s="59"/>
      <c r="B958" s="59"/>
      <c r="E958" s="8"/>
    </row>
    <row r="959" ht="15.75" customHeight="1">
      <c r="A959" s="59"/>
      <c r="B959" s="59"/>
      <c r="E959" s="8"/>
    </row>
    <row r="960" ht="15.75" customHeight="1">
      <c r="A960" s="59"/>
      <c r="B960" s="59"/>
      <c r="E960" s="8"/>
    </row>
    <row r="961" ht="15.75" customHeight="1">
      <c r="A961" s="59"/>
      <c r="B961" s="59"/>
      <c r="E961" s="8"/>
    </row>
    <row r="962" ht="15.75" customHeight="1">
      <c r="A962" s="59"/>
      <c r="B962" s="59"/>
      <c r="E962" s="8"/>
    </row>
    <row r="963" ht="15.75" customHeight="1">
      <c r="A963" s="59"/>
      <c r="B963" s="59"/>
      <c r="E963" s="8"/>
    </row>
    <row r="964" ht="15.75" customHeight="1">
      <c r="A964" s="59"/>
      <c r="B964" s="59"/>
      <c r="E964" s="8"/>
    </row>
    <row r="965" ht="15.75" customHeight="1">
      <c r="A965" s="59"/>
      <c r="B965" s="59"/>
      <c r="E965" s="8"/>
    </row>
    <row r="966" ht="15.75" customHeight="1">
      <c r="A966" s="59"/>
      <c r="B966" s="59"/>
      <c r="E966" s="8"/>
    </row>
    <row r="967" ht="15.75" customHeight="1">
      <c r="A967" s="59"/>
      <c r="B967" s="59"/>
      <c r="E967" s="8"/>
    </row>
    <row r="968" ht="15.75" customHeight="1">
      <c r="A968" s="59"/>
      <c r="B968" s="59"/>
      <c r="E968" s="8"/>
    </row>
    <row r="969" ht="15.75" customHeight="1">
      <c r="A969" s="59"/>
      <c r="B969" s="59"/>
      <c r="E969" s="8"/>
    </row>
    <row r="970" ht="15.75" customHeight="1">
      <c r="A970" s="59"/>
      <c r="B970" s="59"/>
      <c r="E970" s="8"/>
    </row>
    <row r="971" ht="15.75" customHeight="1">
      <c r="A971" s="59"/>
      <c r="B971" s="59"/>
      <c r="E971" s="8"/>
    </row>
    <row r="972" ht="15.75" customHeight="1">
      <c r="A972" s="59"/>
      <c r="B972" s="59"/>
      <c r="E972" s="8"/>
    </row>
    <row r="973" ht="15.75" customHeight="1">
      <c r="A973" s="59"/>
      <c r="B973" s="59"/>
      <c r="E973" s="8"/>
    </row>
    <row r="974" ht="15.75" customHeight="1">
      <c r="A974" s="59"/>
      <c r="B974" s="59"/>
      <c r="E974" s="8"/>
    </row>
    <row r="975" ht="15.75" customHeight="1">
      <c r="A975" s="59"/>
      <c r="B975" s="59"/>
      <c r="E975" s="8"/>
    </row>
    <row r="976" ht="15.75" customHeight="1">
      <c r="A976" s="59"/>
      <c r="B976" s="59"/>
      <c r="E976" s="8"/>
    </row>
    <row r="977" ht="15.75" customHeight="1">
      <c r="A977" s="59"/>
      <c r="B977" s="59"/>
      <c r="E977" s="8"/>
    </row>
    <row r="978" ht="15.75" customHeight="1">
      <c r="A978" s="59"/>
      <c r="B978" s="59"/>
      <c r="E978" s="8"/>
    </row>
    <row r="979" ht="15.75" customHeight="1">
      <c r="A979" s="59"/>
      <c r="B979" s="59"/>
      <c r="E979" s="8"/>
    </row>
    <row r="980" ht="15.75" customHeight="1">
      <c r="A980" s="59"/>
      <c r="B980" s="59"/>
      <c r="E980" s="8"/>
    </row>
    <row r="981" ht="15.75" customHeight="1">
      <c r="A981" s="59"/>
      <c r="B981" s="59"/>
      <c r="E981" s="8"/>
    </row>
    <row r="982" ht="15.75" customHeight="1">
      <c r="A982" s="59"/>
      <c r="B982" s="59"/>
      <c r="E982" s="8"/>
    </row>
    <row r="983" ht="15.75" customHeight="1">
      <c r="A983" s="59"/>
      <c r="B983" s="59"/>
      <c r="E983" s="8"/>
    </row>
    <row r="984" ht="15.75" customHeight="1">
      <c r="A984" s="59"/>
      <c r="B984" s="59"/>
      <c r="E984" s="8"/>
    </row>
    <row r="985" ht="15.75" customHeight="1">
      <c r="A985" s="59"/>
      <c r="B985" s="59"/>
      <c r="E985" s="8"/>
    </row>
    <row r="986" ht="15.75" customHeight="1">
      <c r="A986" s="59"/>
      <c r="B986" s="59"/>
      <c r="E986" s="8"/>
    </row>
    <row r="987" ht="15.75" customHeight="1">
      <c r="A987" s="59"/>
      <c r="B987" s="59"/>
      <c r="E987" s="8"/>
    </row>
    <row r="988" ht="15.75" customHeight="1">
      <c r="A988" s="59"/>
      <c r="B988" s="59"/>
      <c r="E988" s="8"/>
    </row>
    <row r="989" ht="15.75" customHeight="1">
      <c r="A989" s="59"/>
      <c r="B989" s="59"/>
      <c r="E989" s="8"/>
    </row>
    <row r="990" ht="15.75" customHeight="1">
      <c r="A990" s="59"/>
      <c r="B990" s="59"/>
      <c r="E990" s="8"/>
    </row>
    <row r="991" ht="15.75" customHeight="1">
      <c r="A991" s="59"/>
      <c r="B991" s="59"/>
      <c r="E991" s="8"/>
    </row>
    <row r="992" ht="15.75" customHeight="1">
      <c r="A992" s="59"/>
      <c r="B992" s="59"/>
      <c r="E992" s="8"/>
    </row>
    <row r="993" ht="15.75" customHeight="1">
      <c r="A993" s="59"/>
      <c r="B993" s="59"/>
      <c r="E993" s="8"/>
    </row>
    <row r="994" ht="15.75" customHeight="1">
      <c r="A994" s="59"/>
      <c r="B994" s="59"/>
      <c r="E994" s="8"/>
    </row>
    <row r="995" ht="15.75" customHeight="1">
      <c r="A995" s="59"/>
      <c r="B995" s="59"/>
      <c r="E995" s="8"/>
    </row>
    <row r="996" ht="15.75" customHeight="1">
      <c r="A996" s="59"/>
      <c r="B996" s="59"/>
      <c r="E996" s="8"/>
    </row>
    <row r="997" ht="15.75" customHeight="1">
      <c r="A997" s="59"/>
      <c r="B997" s="59"/>
      <c r="E997" s="8"/>
    </row>
    <row r="998" ht="15.75" customHeight="1">
      <c r="A998" s="59"/>
      <c r="B998" s="59"/>
      <c r="E998" s="8"/>
    </row>
    <row r="999" ht="15.75" customHeight="1">
      <c r="A999" s="59"/>
      <c r="B999" s="59"/>
      <c r="E999" s="8"/>
    </row>
    <row r="1000" ht="15.75" customHeight="1">
      <c r="A1000" s="59"/>
      <c r="B1000" s="59"/>
      <c r="E1000" s="8"/>
    </row>
  </sheetData>
  <mergeCells count="419"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80:F380"/>
    <mergeCell ref="A382:G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8:F428"/>
    <mergeCell ref="A430:G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4:F44"/>
    <mergeCell ref="A46:G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92:F92"/>
    <mergeCell ref="A94:G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40:F140"/>
    <mergeCell ref="A142:G144"/>
    <mergeCell ref="A145:B145"/>
    <mergeCell ref="A146:B146"/>
    <mergeCell ref="A147:B147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8:F188"/>
    <mergeCell ref="A190:G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6:F236"/>
    <mergeCell ref="A238:G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4:F284"/>
    <mergeCell ref="A286:G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32:F332"/>
    <mergeCell ref="A334:G336"/>
    <mergeCell ref="A337:B33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9:B469"/>
    <mergeCell ref="A470:B470"/>
    <mergeCell ref="A471:B471"/>
    <mergeCell ref="A472:B472"/>
    <mergeCell ref="A476:F476"/>
    <mergeCell ref="A478:G480"/>
    <mergeCell ref="A462:B462"/>
    <mergeCell ref="A463:B463"/>
    <mergeCell ref="A464:B464"/>
    <mergeCell ref="A465:B465"/>
    <mergeCell ref="A466:B466"/>
    <mergeCell ref="A467:B467"/>
    <mergeCell ref="A468:B468"/>
  </mergeCells>
  <dataValidations>
    <dataValidation type="decimal" allowBlank="1" showErrorMessage="1" sqref="G43 G91 G139 G187 G235 G283 G331 G379 G427 G475">
      <formula1>1.0</formula1>
      <formula2>5.0</formula2>
    </dataValidation>
    <dataValidation type="decimal" allowBlank="1" showErrorMessage="1" sqref="G2">
      <formula1>0.0</formula1>
      <formula2>3.0</formula2>
    </dataValidation>
  </dataValidations>
  <printOptions/>
  <pageMargins bottom="0.75" footer="0.0" header="0.0" left="0.7" right="0.7" top="1.1770833333333333"/>
  <pageSetup paperSize="9" orientation="portrait"/>
  <headerFooter>
    <oddHeader>&amp;CGestión de Riesgos &amp;A Nombre del Proyecto Iteración N° X, fase X</oddHeader>
    <oddFooter>&amp;LNombre del Grupo de Desarrollo Autor&amp;RPágina &amp;P de 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29"/>
    <col customWidth="1" min="2" max="2" width="9.0"/>
    <col customWidth="1" min="3" max="3" width="7.14"/>
    <col customWidth="1" min="4" max="4" width="12.57"/>
    <col customWidth="1" min="5" max="5" width="13.86"/>
    <col customWidth="1" min="6" max="6" width="6.0"/>
    <col customWidth="1" min="7" max="7" width="7.29"/>
    <col customWidth="1" min="8" max="8" width="10.71"/>
    <col customWidth="1" min="9" max="9" width="10.57"/>
    <col customWidth="1" min="10" max="10" width="9.57"/>
    <col customWidth="1" min="11" max="11" width="8.71"/>
    <col customWidth="1" min="12" max="12" width="8.0"/>
    <col customWidth="1" min="13" max="13" width="19.0"/>
    <col customWidth="1" min="14" max="14" width="15.14"/>
    <col customWidth="1" min="15" max="15" width="13.14"/>
    <col customWidth="1" min="16" max="16" width="13.0"/>
    <col customWidth="1" min="17" max="26" width="10.71"/>
  </cols>
  <sheetData>
    <row r="1" ht="15.75" customHeight="1">
      <c r="A1" s="56" t="s">
        <v>36</v>
      </c>
      <c r="B1" s="55" t="s">
        <v>37</v>
      </c>
      <c r="C1" s="35" t="s">
        <v>38</v>
      </c>
      <c r="D1" s="34" t="s">
        <v>39</v>
      </c>
      <c r="E1" s="60" t="s">
        <v>40</v>
      </c>
      <c r="F1" s="61" t="s">
        <v>41</v>
      </c>
      <c r="G1" s="58" t="s">
        <v>42</v>
      </c>
      <c r="H1" s="58" t="s">
        <v>43</v>
      </c>
      <c r="I1" s="62"/>
      <c r="K1" s="62"/>
    </row>
    <row r="2" ht="15.0" customHeight="1">
      <c r="A2" s="15" t="str">
        <f>'Identificación y Evaluación'!A1</f>
        <v>Compromiso del Cliente</v>
      </c>
      <c r="B2" s="15">
        <f>'Identificación y Evaluación'!G43</f>
        <v>5</v>
      </c>
      <c r="C2" s="63">
        <f t="shared" ref="C2:C11" si="1">B2*$C$12/$B$12</f>
        <v>0.1282051282</v>
      </c>
      <c r="D2" s="15">
        <f>COUNTA('Identificación y Evaluación'!A2:B40)</f>
        <v>0</v>
      </c>
      <c r="E2" s="15">
        <f t="shared" ref="E2:E11" si="2">3*D2</f>
        <v>0</v>
      </c>
      <c r="F2" s="16">
        <f>'Identificación y Evaluación'!G41</f>
        <v>0</v>
      </c>
      <c r="G2" s="64">
        <f t="shared" ref="G2:G11" si="3">IF(E2=0, 0, F2/E2*B2)</f>
        <v>0</v>
      </c>
      <c r="H2" s="63">
        <f t="shared" ref="H2:H11" si="4">IF(E2=0, 0, F2/E2*C2)</f>
        <v>0</v>
      </c>
      <c r="I2" s="62"/>
      <c r="K2" s="62"/>
    </row>
    <row r="3" ht="15.0" customHeight="1">
      <c r="A3" s="15" t="str">
        <f>'Identificación y Evaluación'!A49</f>
        <v>Definición del Cliente</v>
      </c>
      <c r="B3" s="15">
        <f>'Identificación y Evaluación'!G91</f>
        <v>5</v>
      </c>
      <c r="C3" s="63">
        <f t="shared" si="1"/>
        <v>0.1282051282</v>
      </c>
      <c r="D3" s="14">
        <f>'Identificación y Evaluación'!F89</f>
        <v>0</v>
      </c>
      <c r="E3" s="15">
        <f t="shared" si="2"/>
        <v>0</v>
      </c>
      <c r="F3" s="16">
        <f>'Identificación y Evaluación'!G89</f>
        <v>0</v>
      </c>
      <c r="G3" s="64">
        <f t="shared" si="3"/>
        <v>0</v>
      </c>
      <c r="H3" s="63">
        <f t="shared" si="4"/>
        <v>0</v>
      </c>
      <c r="I3" s="62"/>
      <c r="K3" s="62"/>
    </row>
    <row r="4" ht="15.0" customHeight="1">
      <c r="A4" s="15" t="str">
        <f>'Identificación y Evaluación'!A97</f>
        <v>Cronograma</v>
      </c>
      <c r="B4" s="15">
        <f>'Identificación y Evaluación'!G139</f>
        <v>2</v>
      </c>
      <c r="C4" s="63">
        <f t="shared" si="1"/>
        <v>0.05128205128</v>
      </c>
      <c r="D4" s="14">
        <f>'Identificación y Evaluación'!F137</f>
        <v>6</v>
      </c>
      <c r="E4" s="15">
        <f t="shared" si="2"/>
        <v>18</v>
      </c>
      <c r="F4" s="16">
        <f>'Identificación y Evaluación'!G137</f>
        <v>8</v>
      </c>
      <c r="G4" s="64">
        <f t="shared" si="3"/>
        <v>0.8888888889</v>
      </c>
      <c r="H4" s="63">
        <f t="shared" si="4"/>
        <v>0.02279202279</v>
      </c>
      <c r="I4" s="62"/>
      <c r="K4" s="62"/>
    </row>
    <row r="5" ht="15.0" customHeight="1">
      <c r="A5" s="15" t="str">
        <f>'Identificación y Evaluación'!A145</f>
        <v>Experiencia y Capacidad</v>
      </c>
      <c r="B5" s="15">
        <f>'Identificación y Evaluación'!G187</f>
        <v>4</v>
      </c>
      <c r="C5" s="63">
        <f t="shared" si="1"/>
        <v>0.1025641026</v>
      </c>
      <c r="D5" s="14">
        <f>'Identificación y Evaluación'!F185</f>
        <v>2</v>
      </c>
      <c r="E5" s="15">
        <f t="shared" si="2"/>
        <v>6</v>
      </c>
      <c r="F5" s="16">
        <f>'Identificación y Evaluación'!G185</f>
        <v>1</v>
      </c>
      <c r="G5" s="64">
        <f t="shared" si="3"/>
        <v>0.6666666667</v>
      </c>
      <c r="H5" s="63">
        <f t="shared" si="4"/>
        <v>0.01709401709</v>
      </c>
      <c r="I5" s="62"/>
      <c r="K5" s="62"/>
    </row>
    <row r="6" ht="15.0" customHeight="1">
      <c r="A6" s="15" t="str">
        <f>'Identificación y Evaluación'!A193</f>
        <v>Duración y Tamaño</v>
      </c>
      <c r="B6" s="15">
        <f>'Identificación y Evaluación'!G235</f>
        <v>3</v>
      </c>
      <c r="C6" s="63">
        <f t="shared" si="1"/>
        <v>0.07692307692</v>
      </c>
      <c r="D6" s="14">
        <f>'Identificación y Evaluación'!F233</f>
        <v>0</v>
      </c>
      <c r="E6" s="15">
        <f t="shared" si="2"/>
        <v>0</v>
      </c>
      <c r="F6" s="16">
        <f>'Identificación y Evaluación'!G233</f>
        <v>0</v>
      </c>
      <c r="G6" s="64">
        <f t="shared" si="3"/>
        <v>0</v>
      </c>
      <c r="H6" s="63">
        <f t="shared" si="4"/>
        <v>0</v>
      </c>
      <c r="I6" s="62"/>
      <c r="K6" s="62"/>
    </row>
    <row r="7" ht="15.0" customHeight="1">
      <c r="A7" s="15" t="str">
        <f>'Identificación y Evaluación'!A241</f>
        <v>Legal y Contractual</v>
      </c>
      <c r="B7" s="15">
        <f>'Identificación y Evaluación'!G283</f>
        <v>3</v>
      </c>
      <c r="C7" s="63">
        <f t="shared" si="1"/>
        <v>0.07692307692</v>
      </c>
      <c r="D7" s="14">
        <f>'Identificación y Evaluación'!F281</f>
        <v>0</v>
      </c>
      <c r="E7" s="15">
        <f t="shared" si="2"/>
        <v>0</v>
      </c>
      <c r="F7" s="16">
        <f>'Identificación y Evaluación'!G281</f>
        <v>0</v>
      </c>
      <c r="G7" s="64">
        <f t="shared" si="3"/>
        <v>0</v>
      </c>
      <c r="H7" s="63">
        <f t="shared" si="4"/>
        <v>0</v>
      </c>
      <c r="I7" s="62"/>
      <c r="K7" s="62"/>
    </row>
    <row r="8" ht="15.0" customHeight="1">
      <c r="A8" s="15" t="str">
        <f>'Identificación y Evaluación'!A289</f>
        <v>Tecnología</v>
      </c>
      <c r="B8" s="15">
        <f>'Identificación y Evaluación'!G331</f>
        <v>5</v>
      </c>
      <c r="C8" s="63">
        <f t="shared" si="1"/>
        <v>0.1282051282</v>
      </c>
      <c r="D8" s="14">
        <f>'Identificación y Evaluación'!F329</f>
        <v>2</v>
      </c>
      <c r="E8" s="15">
        <f t="shared" si="2"/>
        <v>6</v>
      </c>
      <c r="F8" s="16">
        <f>'Identificación y Evaluación'!G329</f>
        <v>2</v>
      </c>
      <c r="G8" s="64">
        <f t="shared" si="3"/>
        <v>1.666666667</v>
      </c>
      <c r="H8" s="63">
        <f t="shared" si="4"/>
        <v>0.04273504274</v>
      </c>
      <c r="I8" s="62"/>
      <c r="K8" s="62"/>
    </row>
    <row r="9" ht="15.0" customHeight="1">
      <c r="A9" s="15" t="str">
        <f>'Identificación y Evaluación'!A337</f>
        <v>Complejidad</v>
      </c>
      <c r="B9" s="15">
        <f>'Identificación y Evaluación'!G379</f>
        <v>4</v>
      </c>
      <c r="C9" s="63">
        <f t="shared" si="1"/>
        <v>0.1025641026</v>
      </c>
      <c r="D9" s="14">
        <f>'Identificación y Evaluación'!F377</f>
        <v>3</v>
      </c>
      <c r="E9" s="15">
        <f t="shared" si="2"/>
        <v>9</v>
      </c>
      <c r="F9" s="16">
        <f>'Identificación y Evaluación'!G377</f>
        <v>4</v>
      </c>
      <c r="G9" s="64">
        <f t="shared" si="3"/>
        <v>1.777777778</v>
      </c>
      <c r="H9" s="63">
        <f t="shared" si="4"/>
        <v>0.04558404558</v>
      </c>
      <c r="I9" s="62"/>
      <c r="K9" s="62"/>
    </row>
    <row r="10" ht="15.0" customHeight="1">
      <c r="A10" s="15" t="str">
        <f>'Identificación y Evaluación'!A385</f>
        <v>Aspectos Financieros</v>
      </c>
      <c r="B10" s="15">
        <f>'Identificación y Evaluación'!G427</f>
        <v>3</v>
      </c>
      <c r="C10" s="63">
        <f t="shared" si="1"/>
        <v>0.07692307692</v>
      </c>
      <c r="D10" s="14">
        <f>'Identificación y Evaluación'!F425</f>
        <v>0</v>
      </c>
      <c r="E10" s="15">
        <f t="shared" si="2"/>
        <v>0</v>
      </c>
      <c r="F10" s="16">
        <f>'Identificación y Evaluación'!G425</f>
        <v>0</v>
      </c>
      <c r="G10" s="64">
        <f t="shared" si="3"/>
        <v>0</v>
      </c>
      <c r="H10" s="63">
        <f t="shared" si="4"/>
        <v>0</v>
      </c>
      <c r="I10" s="62"/>
      <c r="K10" s="62"/>
    </row>
    <row r="11" ht="15.0" customHeight="1">
      <c r="A11" s="15" t="str">
        <f>'Identificación y Evaluación'!A433</f>
        <v>Subcontratistas</v>
      </c>
      <c r="B11" s="15">
        <f>'Identificación y Evaluación'!G475</f>
        <v>5</v>
      </c>
      <c r="C11" s="63">
        <f t="shared" si="1"/>
        <v>0.1282051282</v>
      </c>
      <c r="D11" s="14">
        <f>'Identificación y Evaluación'!F473</f>
        <v>1</v>
      </c>
      <c r="E11" s="15">
        <f t="shared" si="2"/>
        <v>3</v>
      </c>
      <c r="F11" s="16">
        <f>'Identificación y Evaluación'!G473</f>
        <v>3</v>
      </c>
      <c r="G11" s="64">
        <f t="shared" si="3"/>
        <v>5</v>
      </c>
      <c r="H11" s="63">
        <f t="shared" si="4"/>
        <v>0.1282051282</v>
      </c>
      <c r="I11" s="62"/>
      <c r="K11" s="62"/>
    </row>
    <row r="12" ht="15.75" customHeight="1">
      <c r="A12" s="60" t="s">
        <v>44</v>
      </c>
      <c r="B12" s="60">
        <f>SUM(B2:B11)</f>
        <v>39</v>
      </c>
      <c r="C12" s="65">
        <v>1.0</v>
      </c>
      <c r="D12" s="66">
        <f t="shared" ref="D12:H12" si="5">SUM(D2:D11)</f>
        <v>14</v>
      </c>
      <c r="E12" s="60">
        <f t="shared" si="5"/>
        <v>42</v>
      </c>
      <c r="F12" s="67">
        <f t="shared" si="5"/>
        <v>18</v>
      </c>
      <c r="G12" s="68">
        <f t="shared" si="5"/>
        <v>10</v>
      </c>
      <c r="H12" s="69">
        <f t="shared" si="5"/>
        <v>0.2564102564</v>
      </c>
      <c r="I12" s="62"/>
      <c r="K12" s="62"/>
    </row>
    <row r="13" ht="15.75" customHeight="1">
      <c r="E13" s="8"/>
      <c r="F13" s="62"/>
      <c r="I13" s="62"/>
      <c r="K13" s="62"/>
    </row>
    <row r="14" ht="15.75" customHeight="1">
      <c r="E14" s="8"/>
      <c r="F14" s="62"/>
      <c r="I14" s="70"/>
      <c r="J14" s="70"/>
      <c r="K14" s="70"/>
    </row>
    <row r="15" ht="15.0" customHeight="1">
      <c r="E15" s="8"/>
      <c r="F15" s="62"/>
      <c r="H15" s="70"/>
      <c r="I15" s="70"/>
      <c r="J15" s="70"/>
    </row>
    <row r="16" ht="15.0" customHeight="1">
      <c r="E16" s="8"/>
      <c r="F16" s="62"/>
      <c r="H16" s="70"/>
      <c r="I16" s="70"/>
      <c r="J16" s="70"/>
    </row>
    <row r="17" ht="15.0" customHeight="1">
      <c r="E17" s="8"/>
      <c r="F17" s="62"/>
      <c r="H17" s="70"/>
      <c r="I17" s="70"/>
      <c r="J17" s="70"/>
    </row>
    <row r="18" ht="15.0" customHeight="1">
      <c r="E18" s="8"/>
      <c r="F18" s="62"/>
      <c r="H18" s="70"/>
      <c r="I18" s="70"/>
      <c r="J18" s="70"/>
    </row>
    <row r="19" ht="15.0" customHeight="1">
      <c r="E19" s="8"/>
      <c r="F19" s="62"/>
      <c r="H19" s="70"/>
      <c r="I19" s="70"/>
      <c r="J19" s="70"/>
    </row>
    <row r="20" ht="15.0" customHeight="1">
      <c r="E20" s="8"/>
      <c r="F20" s="62"/>
      <c r="H20" s="70"/>
      <c r="I20" s="70"/>
      <c r="J20" s="70"/>
    </row>
    <row r="21" ht="15.0" customHeight="1">
      <c r="E21" s="8"/>
      <c r="F21" s="62"/>
      <c r="H21" s="70"/>
      <c r="I21" s="70"/>
      <c r="J21" s="70"/>
    </row>
    <row r="22" ht="15.0" customHeight="1">
      <c r="E22" s="8"/>
      <c r="F22" s="62"/>
      <c r="H22" s="70"/>
      <c r="I22" s="70"/>
      <c r="J22" s="70"/>
    </row>
    <row r="23" ht="15.0" customHeight="1">
      <c r="E23" s="8"/>
      <c r="F23" s="62"/>
      <c r="H23" s="70"/>
      <c r="I23" s="70"/>
      <c r="J23" s="70"/>
    </row>
    <row r="24" ht="15.0" customHeight="1">
      <c r="E24" s="8"/>
      <c r="F24" s="62"/>
      <c r="H24" s="70"/>
      <c r="I24" s="70"/>
      <c r="J24" s="70"/>
    </row>
    <row r="25" ht="15.0" customHeight="1">
      <c r="E25" s="8"/>
      <c r="F25" s="62"/>
      <c r="H25" s="70"/>
      <c r="I25" s="70"/>
      <c r="J25" s="70"/>
      <c r="K25" s="71"/>
      <c r="L25" s="71"/>
      <c r="M25" s="71"/>
      <c r="N25" s="71"/>
      <c r="O25" s="71"/>
      <c r="P25" s="71"/>
    </row>
    <row r="26" ht="15.75" customHeight="1">
      <c r="E26" s="8"/>
      <c r="F26" s="62"/>
    </row>
    <row r="27" ht="15.0" customHeight="1">
      <c r="E27" s="8"/>
      <c r="F27" s="62"/>
      <c r="P27" s="70"/>
    </row>
    <row r="28" ht="15.0" customHeight="1">
      <c r="E28" s="8"/>
      <c r="F28" s="62"/>
      <c r="P28" s="70"/>
    </row>
    <row r="29" ht="15.0" customHeight="1">
      <c r="E29" s="8"/>
      <c r="F29" s="62"/>
      <c r="P29" s="70"/>
    </row>
    <row r="30" ht="15.0" customHeight="1">
      <c r="E30" s="8"/>
      <c r="F30" s="62"/>
      <c r="P30" s="70"/>
    </row>
    <row r="31" ht="15.0" customHeight="1">
      <c r="E31" s="8"/>
      <c r="F31" s="62"/>
      <c r="P31" s="70"/>
    </row>
    <row r="32" ht="15.0" customHeight="1">
      <c r="E32" s="8"/>
      <c r="F32" s="62"/>
      <c r="P32" s="70"/>
    </row>
    <row r="33" ht="15.0" customHeight="1">
      <c r="E33" s="8"/>
      <c r="F33" s="62"/>
      <c r="P33" s="70"/>
    </row>
    <row r="34" ht="15.0" customHeight="1">
      <c r="E34" s="8"/>
      <c r="F34" s="62"/>
      <c r="P34" s="70"/>
    </row>
    <row r="35" ht="15.0" customHeight="1">
      <c r="E35" s="8"/>
      <c r="F35" s="62"/>
      <c r="P35" s="70"/>
    </row>
    <row r="36" ht="15.0" customHeight="1">
      <c r="E36" s="8"/>
      <c r="F36" s="62"/>
      <c r="P36" s="70"/>
    </row>
    <row r="37" ht="15.0" customHeight="1">
      <c r="E37" s="8"/>
      <c r="F37" s="62"/>
      <c r="M37" s="71"/>
      <c r="N37" s="71"/>
      <c r="O37" s="71"/>
      <c r="P37" s="72"/>
    </row>
    <row r="38" ht="15.75" customHeight="1">
      <c r="E38" s="8"/>
      <c r="F38" s="62"/>
    </row>
    <row r="39" ht="15.75" customHeight="1">
      <c r="E39" s="8"/>
      <c r="F39" s="62"/>
    </row>
    <row r="40" ht="15.75" customHeight="1">
      <c r="E40" s="8"/>
      <c r="F40" s="62"/>
    </row>
    <row r="41" ht="15.75" customHeight="1">
      <c r="E41" s="8"/>
      <c r="F41" s="62"/>
    </row>
    <row r="42" ht="15.75" customHeight="1">
      <c r="E42" s="8"/>
      <c r="F42" s="62"/>
    </row>
    <row r="43" ht="15.75" customHeight="1">
      <c r="E43" s="8"/>
      <c r="F43" s="62"/>
    </row>
    <row r="44" ht="15.75" customHeight="1">
      <c r="E44" s="8"/>
      <c r="F44" s="62"/>
    </row>
    <row r="45" ht="15.75" customHeight="1">
      <c r="E45" s="8"/>
      <c r="F45" s="62"/>
    </row>
    <row r="46" ht="15.75" customHeight="1">
      <c r="E46" s="8"/>
      <c r="F46" s="62"/>
    </row>
    <row r="47" ht="15.75" customHeight="1">
      <c r="E47" s="8"/>
      <c r="F47" s="62"/>
    </row>
    <row r="48" ht="15.75" customHeight="1">
      <c r="E48" s="8"/>
      <c r="F48" s="62"/>
    </row>
    <row r="49" ht="15.75" customHeight="1">
      <c r="E49" s="8"/>
      <c r="F49" s="62"/>
    </row>
    <row r="50" ht="15.75" customHeight="1">
      <c r="E50" s="8"/>
      <c r="F50" s="62"/>
    </row>
    <row r="51" ht="15.75" customHeight="1">
      <c r="E51" s="8"/>
      <c r="F51" s="62"/>
    </row>
    <row r="52" ht="15.75" customHeight="1">
      <c r="E52" s="8"/>
      <c r="F52" s="62"/>
    </row>
    <row r="53" ht="15.75" customHeight="1">
      <c r="E53" s="8"/>
      <c r="F53" s="62"/>
    </row>
    <row r="54" ht="15.75" customHeight="1">
      <c r="E54" s="8"/>
      <c r="F54" s="62"/>
    </row>
    <row r="55" ht="15.75" customHeight="1">
      <c r="E55" s="8"/>
      <c r="F55" s="62"/>
    </row>
    <row r="56" ht="15.75" customHeight="1">
      <c r="E56" s="8"/>
      <c r="F56" s="62"/>
    </row>
    <row r="57" ht="15.75" customHeight="1">
      <c r="E57" s="8"/>
      <c r="F57" s="62"/>
    </row>
    <row r="58" ht="15.75" customHeight="1">
      <c r="E58" s="8"/>
      <c r="F58" s="62"/>
    </row>
    <row r="59" ht="15.75" customHeight="1">
      <c r="E59" s="8"/>
      <c r="F59" s="62"/>
    </row>
    <row r="60" ht="15.75" customHeight="1">
      <c r="E60" s="8"/>
      <c r="F60" s="62"/>
    </row>
    <row r="61" ht="15.75" customHeight="1">
      <c r="E61" s="8"/>
      <c r="F61" s="62"/>
    </row>
    <row r="62" ht="15.75" customHeight="1">
      <c r="E62" s="8"/>
      <c r="F62" s="62"/>
    </row>
    <row r="63" ht="15.75" customHeight="1">
      <c r="E63" s="8"/>
      <c r="F63" s="62"/>
    </row>
    <row r="64" ht="15.75" customHeight="1">
      <c r="E64" s="8"/>
      <c r="F64" s="62"/>
    </row>
    <row r="65" ht="15.75" customHeight="1">
      <c r="E65" s="8"/>
      <c r="F65" s="62"/>
    </row>
    <row r="66" ht="15.75" customHeight="1">
      <c r="E66" s="8"/>
      <c r="F66" s="62"/>
    </row>
    <row r="67" ht="15.75" customHeight="1">
      <c r="E67" s="8"/>
      <c r="F67" s="62"/>
    </row>
    <row r="68" ht="15.75" customHeight="1">
      <c r="E68" s="8"/>
      <c r="F68" s="62"/>
    </row>
    <row r="69" ht="15.75" customHeight="1">
      <c r="E69" s="8"/>
      <c r="F69" s="62"/>
    </row>
    <row r="70" ht="15.75" customHeight="1">
      <c r="E70" s="8"/>
      <c r="F70" s="62"/>
    </row>
    <row r="71" ht="15.75" customHeight="1">
      <c r="E71" s="8"/>
      <c r="F71" s="62"/>
    </row>
    <row r="72" ht="15.75" customHeight="1">
      <c r="E72" s="8"/>
      <c r="F72" s="62"/>
    </row>
    <row r="73" ht="15.75" customHeight="1">
      <c r="E73" s="8"/>
      <c r="F73" s="62"/>
    </row>
    <row r="74" ht="15.75" customHeight="1">
      <c r="E74" s="8"/>
      <c r="F74" s="62"/>
    </row>
    <row r="75" ht="15.75" customHeight="1">
      <c r="E75" s="8"/>
      <c r="F75" s="62"/>
    </row>
    <row r="76" ht="15.75" customHeight="1">
      <c r="E76" s="8"/>
      <c r="F76" s="62"/>
    </row>
    <row r="77" ht="15.75" customHeight="1">
      <c r="E77" s="8"/>
      <c r="F77" s="62"/>
    </row>
    <row r="78" ht="15.75" customHeight="1">
      <c r="E78" s="8"/>
      <c r="F78" s="62"/>
    </row>
    <row r="79" ht="15.75" customHeight="1">
      <c r="E79" s="8"/>
      <c r="F79" s="62"/>
    </row>
    <row r="80" ht="15.75" customHeight="1">
      <c r="E80" s="8"/>
      <c r="F80" s="62"/>
    </row>
    <row r="81" ht="15.75" customHeight="1">
      <c r="E81" s="8"/>
      <c r="F81" s="62"/>
    </row>
    <row r="82" ht="15.75" customHeight="1">
      <c r="E82" s="8"/>
      <c r="F82" s="62"/>
    </row>
    <row r="83" ht="15.75" customHeight="1">
      <c r="E83" s="8"/>
      <c r="F83" s="62"/>
    </row>
    <row r="84" ht="15.75" customHeight="1">
      <c r="E84" s="8"/>
      <c r="F84" s="62"/>
    </row>
    <row r="85" ht="15.75" customHeight="1">
      <c r="E85" s="8"/>
      <c r="F85" s="62"/>
    </row>
    <row r="86" ht="15.75" customHeight="1">
      <c r="E86" s="8"/>
      <c r="F86" s="62"/>
    </row>
    <row r="87" ht="15.75" customHeight="1">
      <c r="E87" s="8"/>
      <c r="F87" s="62"/>
    </row>
    <row r="88" ht="15.75" customHeight="1">
      <c r="E88" s="8"/>
      <c r="F88" s="62"/>
    </row>
    <row r="89" ht="15.75" customHeight="1">
      <c r="E89" s="8"/>
      <c r="F89" s="62"/>
    </row>
    <row r="90" ht="15.75" customHeight="1">
      <c r="E90" s="8"/>
      <c r="F90" s="62"/>
    </row>
    <row r="91" ht="15.75" customHeight="1">
      <c r="E91" s="8"/>
      <c r="F91" s="62"/>
    </row>
    <row r="92" ht="15.75" customHeight="1">
      <c r="E92" s="8"/>
      <c r="F92" s="62"/>
    </row>
    <row r="93" ht="15.75" customHeight="1">
      <c r="E93" s="8"/>
      <c r="F93" s="62"/>
    </row>
    <row r="94" ht="15.75" customHeight="1">
      <c r="E94" s="8"/>
      <c r="F94" s="62"/>
    </row>
    <row r="95" ht="15.75" customHeight="1">
      <c r="E95" s="8"/>
      <c r="F95" s="62"/>
    </row>
    <row r="96" ht="15.75" customHeight="1">
      <c r="E96" s="8"/>
      <c r="F96" s="62"/>
    </row>
    <row r="97" ht="15.75" customHeight="1">
      <c r="E97" s="8"/>
      <c r="F97" s="62"/>
    </row>
    <row r="98" ht="15.75" customHeight="1">
      <c r="E98" s="8"/>
      <c r="F98" s="62"/>
    </row>
    <row r="99" ht="15.75" customHeight="1">
      <c r="E99" s="8"/>
      <c r="F99" s="62"/>
    </row>
    <row r="100" ht="15.75" customHeight="1">
      <c r="E100" s="8"/>
      <c r="F100" s="62"/>
    </row>
    <row r="101" ht="15.75" customHeight="1">
      <c r="E101" s="8"/>
      <c r="F101" s="62"/>
    </row>
    <row r="102" ht="15.75" customHeight="1">
      <c r="E102" s="8"/>
      <c r="F102" s="62"/>
    </row>
    <row r="103" ht="15.75" customHeight="1">
      <c r="E103" s="8"/>
      <c r="F103" s="62"/>
    </row>
    <row r="104" ht="15.75" customHeight="1">
      <c r="E104" s="8"/>
      <c r="F104" s="62"/>
    </row>
    <row r="105" ht="15.75" customHeight="1">
      <c r="E105" s="8"/>
      <c r="F105" s="62"/>
    </row>
    <row r="106" ht="15.75" customHeight="1">
      <c r="E106" s="8"/>
      <c r="F106" s="62"/>
    </row>
    <row r="107" ht="15.75" customHeight="1">
      <c r="E107" s="8"/>
      <c r="F107" s="62"/>
    </row>
    <row r="108" ht="15.75" customHeight="1">
      <c r="E108" s="8"/>
      <c r="F108" s="62"/>
    </row>
    <row r="109" ht="15.75" customHeight="1">
      <c r="E109" s="8"/>
      <c r="F109" s="62"/>
    </row>
    <row r="110" ht="15.75" customHeight="1">
      <c r="E110" s="8"/>
      <c r="F110" s="62"/>
    </row>
    <row r="111" ht="15.75" customHeight="1">
      <c r="E111" s="8"/>
      <c r="F111" s="62"/>
    </row>
    <row r="112" ht="15.75" customHeight="1">
      <c r="E112" s="8"/>
      <c r="F112" s="62"/>
    </row>
    <row r="113" ht="15.75" customHeight="1">
      <c r="E113" s="8"/>
      <c r="F113" s="62"/>
    </row>
    <row r="114" ht="15.75" customHeight="1">
      <c r="E114" s="8"/>
      <c r="F114" s="62"/>
    </row>
    <row r="115" ht="15.75" customHeight="1">
      <c r="E115" s="8"/>
      <c r="F115" s="62"/>
    </row>
    <row r="116" ht="15.75" customHeight="1">
      <c r="E116" s="8"/>
      <c r="F116" s="62"/>
    </row>
    <row r="117" ht="15.75" customHeight="1">
      <c r="E117" s="8"/>
      <c r="F117" s="62"/>
    </row>
    <row r="118" ht="15.75" customHeight="1">
      <c r="E118" s="8"/>
      <c r="F118" s="62"/>
    </row>
    <row r="119" ht="15.75" customHeight="1">
      <c r="E119" s="8"/>
      <c r="F119" s="62"/>
    </row>
    <row r="120" ht="15.75" customHeight="1">
      <c r="E120" s="8"/>
      <c r="F120" s="62"/>
    </row>
    <row r="121" ht="15.75" customHeight="1">
      <c r="E121" s="8"/>
      <c r="F121" s="62"/>
    </row>
    <row r="122" ht="15.75" customHeight="1">
      <c r="E122" s="8"/>
      <c r="F122" s="62"/>
    </row>
    <row r="123" ht="15.75" customHeight="1">
      <c r="E123" s="8"/>
      <c r="F123" s="62"/>
    </row>
    <row r="124" ht="15.75" customHeight="1">
      <c r="E124" s="8"/>
      <c r="F124" s="62"/>
    </row>
    <row r="125" ht="15.75" customHeight="1">
      <c r="E125" s="8"/>
      <c r="F125" s="62"/>
    </row>
    <row r="126" ht="15.75" customHeight="1">
      <c r="E126" s="8"/>
      <c r="F126" s="62"/>
    </row>
    <row r="127" ht="15.75" customHeight="1">
      <c r="E127" s="8"/>
      <c r="F127" s="62"/>
    </row>
    <row r="128" ht="15.75" customHeight="1">
      <c r="E128" s="8"/>
      <c r="F128" s="62"/>
    </row>
    <row r="129" ht="15.75" customHeight="1">
      <c r="E129" s="8"/>
      <c r="F129" s="62"/>
    </row>
    <row r="130" ht="15.75" customHeight="1">
      <c r="E130" s="8"/>
      <c r="F130" s="62"/>
    </row>
    <row r="131" ht="15.75" customHeight="1">
      <c r="E131" s="8"/>
      <c r="F131" s="62"/>
    </row>
    <row r="132" ht="15.75" customHeight="1">
      <c r="E132" s="8"/>
      <c r="F132" s="62"/>
    </row>
    <row r="133" ht="15.75" customHeight="1">
      <c r="E133" s="8"/>
      <c r="F133" s="62"/>
    </row>
    <row r="134" ht="15.75" customHeight="1">
      <c r="E134" s="8"/>
      <c r="F134" s="62"/>
    </row>
    <row r="135" ht="15.75" customHeight="1">
      <c r="E135" s="8"/>
      <c r="F135" s="62"/>
    </row>
    <row r="136" ht="15.75" customHeight="1">
      <c r="E136" s="8"/>
      <c r="F136" s="62"/>
    </row>
    <row r="137" ht="15.75" customHeight="1">
      <c r="E137" s="8"/>
      <c r="F137" s="62"/>
    </row>
    <row r="138" ht="15.75" customHeight="1">
      <c r="E138" s="8"/>
      <c r="F138" s="62"/>
    </row>
    <row r="139" ht="15.75" customHeight="1">
      <c r="E139" s="8"/>
      <c r="F139" s="62"/>
    </row>
    <row r="140" ht="15.75" customHeight="1">
      <c r="E140" s="8"/>
      <c r="F140" s="62"/>
    </row>
    <row r="141" ht="15.75" customHeight="1">
      <c r="E141" s="8"/>
      <c r="F141" s="62"/>
    </row>
    <row r="142" ht="15.75" customHeight="1">
      <c r="E142" s="8"/>
      <c r="F142" s="62"/>
    </row>
    <row r="143" ht="15.75" customHeight="1">
      <c r="E143" s="8"/>
      <c r="F143" s="62"/>
    </row>
    <row r="144" ht="15.75" customHeight="1">
      <c r="E144" s="8"/>
      <c r="F144" s="62"/>
    </row>
    <row r="145" ht="15.75" customHeight="1">
      <c r="E145" s="8"/>
      <c r="F145" s="62"/>
    </row>
    <row r="146" ht="15.75" customHeight="1">
      <c r="E146" s="8"/>
      <c r="F146" s="62"/>
    </row>
    <row r="147" ht="15.75" customHeight="1">
      <c r="E147" s="8"/>
      <c r="F147" s="62"/>
    </row>
    <row r="148" ht="15.75" customHeight="1">
      <c r="E148" s="8"/>
      <c r="F148" s="62"/>
    </row>
    <row r="149" ht="15.75" customHeight="1">
      <c r="E149" s="8"/>
      <c r="F149" s="62"/>
    </row>
    <row r="150" ht="15.75" customHeight="1">
      <c r="E150" s="8"/>
      <c r="F150" s="62"/>
    </row>
    <row r="151" ht="15.75" customHeight="1">
      <c r="E151" s="8"/>
      <c r="F151" s="62"/>
    </row>
    <row r="152" ht="15.75" customHeight="1">
      <c r="E152" s="8"/>
      <c r="F152" s="62"/>
    </row>
    <row r="153" ht="15.75" customHeight="1">
      <c r="E153" s="8"/>
      <c r="F153" s="62"/>
    </row>
    <row r="154" ht="15.75" customHeight="1">
      <c r="E154" s="8"/>
      <c r="F154" s="62"/>
    </row>
    <row r="155" ht="15.75" customHeight="1">
      <c r="E155" s="8"/>
      <c r="F155" s="62"/>
    </row>
    <row r="156" ht="15.75" customHeight="1">
      <c r="E156" s="8"/>
      <c r="F156" s="62"/>
    </row>
    <row r="157" ht="15.75" customHeight="1">
      <c r="E157" s="8"/>
      <c r="F157" s="62"/>
    </row>
    <row r="158" ht="15.75" customHeight="1">
      <c r="E158" s="8"/>
      <c r="F158" s="62"/>
    </row>
    <row r="159" ht="15.75" customHeight="1">
      <c r="E159" s="8"/>
      <c r="F159" s="62"/>
    </row>
    <row r="160" ht="15.75" customHeight="1">
      <c r="E160" s="8"/>
      <c r="F160" s="62"/>
    </row>
    <row r="161" ht="15.75" customHeight="1">
      <c r="E161" s="8"/>
      <c r="F161" s="62"/>
    </row>
    <row r="162" ht="15.75" customHeight="1">
      <c r="E162" s="8"/>
      <c r="F162" s="62"/>
    </row>
    <row r="163" ht="15.75" customHeight="1">
      <c r="E163" s="8"/>
      <c r="F163" s="62"/>
    </row>
    <row r="164" ht="15.75" customHeight="1">
      <c r="E164" s="8"/>
      <c r="F164" s="62"/>
    </row>
    <row r="165" ht="15.75" customHeight="1">
      <c r="E165" s="8"/>
      <c r="F165" s="62"/>
    </row>
    <row r="166" ht="15.75" customHeight="1">
      <c r="E166" s="8"/>
      <c r="F166" s="62"/>
    </row>
    <row r="167" ht="15.75" customHeight="1">
      <c r="E167" s="8"/>
      <c r="F167" s="62"/>
    </row>
    <row r="168" ht="15.75" customHeight="1">
      <c r="E168" s="8"/>
      <c r="F168" s="62"/>
    </row>
    <row r="169" ht="15.75" customHeight="1">
      <c r="E169" s="8"/>
      <c r="F169" s="62"/>
    </row>
    <row r="170" ht="15.75" customHeight="1">
      <c r="E170" s="8"/>
      <c r="F170" s="62"/>
    </row>
    <row r="171" ht="15.75" customHeight="1">
      <c r="E171" s="8"/>
      <c r="F171" s="62"/>
    </row>
    <row r="172" ht="15.75" customHeight="1">
      <c r="E172" s="8"/>
      <c r="F172" s="62"/>
    </row>
    <row r="173" ht="15.75" customHeight="1">
      <c r="E173" s="8"/>
      <c r="F173" s="62"/>
    </row>
    <row r="174" ht="15.75" customHeight="1">
      <c r="E174" s="8"/>
      <c r="F174" s="62"/>
    </row>
    <row r="175" ht="15.75" customHeight="1">
      <c r="E175" s="8"/>
      <c r="F175" s="62"/>
    </row>
    <row r="176" ht="15.75" customHeight="1">
      <c r="E176" s="8"/>
      <c r="F176" s="62"/>
    </row>
    <row r="177" ht="15.75" customHeight="1">
      <c r="E177" s="8"/>
      <c r="F177" s="62"/>
    </row>
    <row r="178" ht="15.75" customHeight="1">
      <c r="E178" s="8"/>
      <c r="F178" s="62"/>
    </row>
    <row r="179" ht="15.75" customHeight="1">
      <c r="E179" s="8"/>
      <c r="F179" s="62"/>
    </row>
    <row r="180" ht="15.75" customHeight="1">
      <c r="E180" s="8"/>
      <c r="F180" s="62"/>
    </row>
    <row r="181" ht="15.75" customHeight="1">
      <c r="E181" s="8"/>
      <c r="F181" s="62"/>
    </row>
    <row r="182" ht="15.75" customHeight="1">
      <c r="E182" s="8"/>
      <c r="F182" s="62"/>
    </row>
    <row r="183" ht="15.75" customHeight="1">
      <c r="E183" s="8"/>
      <c r="F183" s="62"/>
    </row>
    <row r="184" ht="15.75" customHeight="1">
      <c r="E184" s="8"/>
      <c r="F184" s="62"/>
    </row>
    <row r="185" ht="15.75" customHeight="1">
      <c r="E185" s="8"/>
      <c r="F185" s="62"/>
    </row>
    <row r="186" ht="15.75" customHeight="1">
      <c r="E186" s="8"/>
      <c r="F186" s="62"/>
    </row>
    <row r="187" ht="15.75" customHeight="1">
      <c r="E187" s="8"/>
      <c r="F187" s="62"/>
    </row>
    <row r="188" ht="15.75" customHeight="1">
      <c r="E188" s="8"/>
      <c r="F188" s="62"/>
    </row>
    <row r="189" ht="15.75" customHeight="1">
      <c r="E189" s="8"/>
      <c r="F189" s="62"/>
    </row>
    <row r="190" ht="15.75" customHeight="1">
      <c r="E190" s="8"/>
      <c r="F190" s="62"/>
    </row>
    <row r="191" ht="15.75" customHeight="1">
      <c r="E191" s="8"/>
      <c r="F191" s="62"/>
    </row>
    <row r="192" ht="15.75" customHeight="1">
      <c r="E192" s="8"/>
      <c r="F192" s="62"/>
    </row>
    <row r="193" ht="15.75" customHeight="1">
      <c r="E193" s="8"/>
      <c r="F193" s="62"/>
    </row>
    <row r="194" ht="15.75" customHeight="1">
      <c r="E194" s="8"/>
      <c r="F194" s="62"/>
    </row>
    <row r="195" ht="15.75" customHeight="1">
      <c r="E195" s="8"/>
      <c r="F195" s="62"/>
    </row>
    <row r="196" ht="15.75" customHeight="1">
      <c r="E196" s="8"/>
      <c r="F196" s="62"/>
    </row>
    <row r="197" ht="15.75" customHeight="1">
      <c r="E197" s="8"/>
      <c r="F197" s="62"/>
    </row>
    <row r="198" ht="15.75" customHeight="1">
      <c r="E198" s="8"/>
      <c r="F198" s="62"/>
    </row>
    <row r="199" ht="15.75" customHeight="1">
      <c r="E199" s="8"/>
      <c r="F199" s="62"/>
    </row>
    <row r="200" ht="15.75" customHeight="1">
      <c r="E200" s="8"/>
      <c r="F200" s="62"/>
    </row>
    <row r="201" ht="15.75" customHeight="1">
      <c r="E201" s="8"/>
      <c r="F201" s="62"/>
    </row>
    <row r="202" ht="15.75" customHeight="1">
      <c r="E202" s="8"/>
      <c r="F202" s="62"/>
    </row>
    <row r="203" ht="15.75" customHeight="1">
      <c r="E203" s="8"/>
      <c r="F203" s="62"/>
    </row>
    <row r="204" ht="15.75" customHeight="1">
      <c r="E204" s="8"/>
      <c r="F204" s="62"/>
    </row>
    <row r="205" ht="15.75" customHeight="1">
      <c r="E205" s="8"/>
      <c r="F205" s="62"/>
    </row>
    <row r="206" ht="15.75" customHeight="1">
      <c r="E206" s="8"/>
      <c r="F206" s="62"/>
    </row>
    <row r="207" ht="15.75" customHeight="1">
      <c r="E207" s="8"/>
      <c r="F207" s="62"/>
    </row>
    <row r="208" ht="15.75" customHeight="1">
      <c r="E208" s="8"/>
      <c r="F208" s="62"/>
    </row>
    <row r="209" ht="15.75" customHeight="1">
      <c r="E209" s="8"/>
      <c r="F209" s="62"/>
    </row>
    <row r="210" ht="15.75" customHeight="1">
      <c r="E210" s="8"/>
      <c r="F210" s="62"/>
    </row>
    <row r="211" ht="15.75" customHeight="1">
      <c r="E211" s="8"/>
      <c r="F211" s="62"/>
    </row>
    <row r="212" ht="15.75" customHeight="1">
      <c r="E212" s="8"/>
      <c r="F212" s="62"/>
    </row>
    <row r="213" ht="15.75" customHeight="1">
      <c r="E213" s="8"/>
      <c r="F213" s="62"/>
    </row>
    <row r="214" ht="15.75" customHeight="1">
      <c r="E214" s="8"/>
      <c r="F214" s="62"/>
    </row>
    <row r="215" ht="15.75" customHeight="1">
      <c r="E215" s="8"/>
      <c r="F215" s="62"/>
    </row>
    <row r="216" ht="15.75" customHeight="1">
      <c r="E216" s="8"/>
      <c r="F216" s="62"/>
    </row>
    <row r="217" ht="15.75" customHeight="1">
      <c r="E217" s="8"/>
      <c r="F217" s="62"/>
    </row>
    <row r="218" ht="15.75" customHeight="1">
      <c r="E218" s="8"/>
      <c r="F218" s="62"/>
    </row>
    <row r="219" ht="15.75" customHeight="1">
      <c r="E219" s="8"/>
      <c r="F219" s="62"/>
    </row>
    <row r="220" ht="15.75" customHeight="1">
      <c r="E220" s="8"/>
      <c r="F220" s="62"/>
    </row>
    <row r="221" ht="15.75" customHeight="1">
      <c r="E221" s="8"/>
      <c r="F221" s="62"/>
    </row>
    <row r="222" ht="15.75" customHeight="1">
      <c r="E222" s="8"/>
      <c r="F222" s="62"/>
    </row>
    <row r="223" ht="15.75" customHeight="1">
      <c r="E223" s="8"/>
      <c r="F223" s="62"/>
    </row>
    <row r="224" ht="15.75" customHeight="1">
      <c r="E224" s="8"/>
      <c r="F224" s="62"/>
    </row>
    <row r="225" ht="15.75" customHeight="1">
      <c r="E225" s="8"/>
      <c r="F225" s="62"/>
    </row>
    <row r="226" ht="15.75" customHeight="1">
      <c r="E226" s="8"/>
      <c r="F226" s="62"/>
    </row>
    <row r="227" ht="15.75" customHeight="1">
      <c r="E227" s="8"/>
      <c r="F227" s="62"/>
    </row>
    <row r="228" ht="15.75" customHeight="1">
      <c r="E228" s="8"/>
      <c r="F228" s="62"/>
    </row>
    <row r="229" ht="15.75" customHeight="1">
      <c r="E229" s="8"/>
      <c r="F229" s="62"/>
    </row>
    <row r="230" ht="15.75" customHeight="1">
      <c r="E230" s="8"/>
      <c r="F230" s="62"/>
    </row>
    <row r="231" ht="15.75" customHeight="1">
      <c r="E231" s="8"/>
      <c r="F231" s="62"/>
    </row>
    <row r="232" ht="15.75" customHeight="1">
      <c r="E232" s="8"/>
      <c r="F232" s="62"/>
    </row>
    <row r="233" ht="15.75" customHeight="1">
      <c r="E233" s="8"/>
      <c r="F233" s="62"/>
    </row>
    <row r="234" ht="15.75" customHeight="1">
      <c r="E234" s="8"/>
      <c r="F234" s="62"/>
    </row>
    <row r="235" ht="15.75" customHeight="1">
      <c r="E235" s="8"/>
      <c r="F235" s="62"/>
    </row>
    <row r="236" ht="15.75" customHeight="1">
      <c r="E236" s="8"/>
      <c r="F236" s="62"/>
    </row>
    <row r="237" ht="15.75" customHeight="1">
      <c r="E237" s="8"/>
      <c r="F237" s="62"/>
    </row>
    <row r="238" ht="15.75" customHeight="1">
      <c r="E238" s="8"/>
      <c r="F238" s="62"/>
    </row>
    <row r="239" ht="15.75" customHeight="1">
      <c r="E239" s="8"/>
      <c r="F239" s="62"/>
    </row>
    <row r="240" ht="15.75" customHeight="1">
      <c r="E240" s="8"/>
      <c r="F240" s="62"/>
    </row>
    <row r="241" ht="15.75" customHeight="1">
      <c r="E241" s="8"/>
      <c r="F241" s="62"/>
    </row>
    <row r="242" ht="15.75" customHeight="1">
      <c r="E242" s="8"/>
      <c r="F242" s="62"/>
    </row>
    <row r="243" ht="15.75" customHeight="1">
      <c r="E243" s="8"/>
      <c r="F243" s="62"/>
    </row>
    <row r="244" ht="15.75" customHeight="1">
      <c r="E244" s="8"/>
      <c r="F244" s="62"/>
    </row>
    <row r="245" ht="15.75" customHeight="1">
      <c r="E245" s="8"/>
      <c r="F245" s="62"/>
    </row>
    <row r="246" ht="15.75" customHeight="1">
      <c r="E246" s="8"/>
      <c r="F246" s="62"/>
    </row>
    <row r="247" ht="15.75" customHeight="1">
      <c r="E247" s="8"/>
      <c r="F247" s="62"/>
    </row>
    <row r="248" ht="15.75" customHeight="1">
      <c r="E248" s="8"/>
      <c r="F248" s="62"/>
    </row>
    <row r="249" ht="15.75" customHeight="1">
      <c r="E249" s="8"/>
      <c r="F249" s="62"/>
    </row>
    <row r="250" ht="15.75" customHeight="1">
      <c r="E250" s="8"/>
      <c r="F250" s="62"/>
    </row>
    <row r="251" ht="15.75" customHeight="1">
      <c r="E251" s="8"/>
      <c r="F251" s="62"/>
    </row>
    <row r="252" ht="15.75" customHeight="1">
      <c r="E252" s="8"/>
      <c r="F252" s="62"/>
    </row>
    <row r="253" ht="15.75" customHeight="1">
      <c r="E253" s="8"/>
      <c r="F253" s="62"/>
    </row>
    <row r="254" ht="15.75" customHeight="1">
      <c r="E254" s="8"/>
      <c r="F254" s="62"/>
    </row>
    <row r="255" ht="15.75" customHeight="1">
      <c r="E255" s="8"/>
      <c r="F255" s="62"/>
    </row>
    <row r="256" ht="15.75" customHeight="1">
      <c r="E256" s="8"/>
      <c r="F256" s="62"/>
    </row>
    <row r="257" ht="15.75" customHeight="1">
      <c r="E257" s="8"/>
      <c r="F257" s="62"/>
    </row>
    <row r="258" ht="15.75" customHeight="1">
      <c r="E258" s="8"/>
      <c r="F258" s="62"/>
    </row>
    <row r="259" ht="15.75" customHeight="1">
      <c r="E259" s="8"/>
      <c r="F259" s="62"/>
    </row>
    <row r="260" ht="15.75" customHeight="1">
      <c r="E260" s="8"/>
      <c r="F260" s="62"/>
    </row>
    <row r="261" ht="15.75" customHeight="1">
      <c r="E261" s="8"/>
      <c r="F261" s="62"/>
    </row>
    <row r="262" ht="15.75" customHeight="1">
      <c r="E262" s="8"/>
      <c r="F262" s="62"/>
    </row>
    <row r="263" ht="15.75" customHeight="1">
      <c r="E263" s="8"/>
      <c r="F263" s="62"/>
    </row>
    <row r="264" ht="15.75" customHeight="1">
      <c r="E264" s="8"/>
      <c r="F264" s="62"/>
    </row>
    <row r="265" ht="15.75" customHeight="1">
      <c r="E265" s="8"/>
      <c r="F265" s="62"/>
    </row>
    <row r="266" ht="15.75" customHeight="1">
      <c r="E266" s="8"/>
      <c r="F266" s="62"/>
    </row>
    <row r="267" ht="15.75" customHeight="1">
      <c r="E267" s="8"/>
      <c r="F267" s="62"/>
    </row>
    <row r="268" ht="15.75" customHeight="1">
      <c r="E268" s="8"/>
      <c r="F268" s="62"/>
    </row>
    <row r="269" ht="15.75" customHeight="1">
      <c r="E269" s="8"/>
      <c r="F269" s="62"/>
    </row>
    <row r="270" ht="15.75" customHeight="1">
      <c r="E270" s="8"/>
      <c r="F270" s="62"/>
    </row>
    <row r="271" ht="15.75" customHeight="1">
      <c r="E271" s="8"/>
      <c r="F271" s="62"/>
    </row>
    <row r="272" ht="15.75" customHeight="1">
      <c r="E272" s="8"/>
      <c r="F272" s="62"/>
    </row>
    <row r="273" ht="15.75" customHeight="1">
      <c r="E273" s="8"/>
      <c r="F273" s="62"/>
    </row>
    <row r="274" ht="15.75" customHeight="1">
      <c r="E274" s="8"/>
      <c r="F274" s="62"/>
    </row>
    <row r="275" ht="15.75" customHeight="1">
      <c r="E275" s="8"/>
      <c r="F275" s="62"/>
    </row>
    <row r="276" ht="15.75" customHeight="1">
      <c r="E276" s="8"/>
      <c r="F276" s="62"/>
    </row>
    <row r="277" ht="15.75" customHeight="1">
      <c r="E277" s="8"/>
      <c r="F277" s="62"/>
    </row>
    <row r="278" ht="15.75" customHeight="1">
      <c r="E278" s="8"/>
      <c r="F278" s="62"/>
    </row>
    <row r="279" ht="15.75" customHeight="1">
      <c r="E279" s="8"/>
      <c r="F279" s="62"/>
    </row>
    <row r="280" ht="15.75" customHeight="1">
      <c r="E280" s="8"/>
      <c r="F280" s="62"/>
    </row>
    <row r="281" ht="15.75" customHeight="1">
      <c r="E281" s="8"/>
      <c r="F281" s="62"/>
    </row>
    <row r="282" ht="15.75" customHeight="1">
      <c r="E282" s="8"/>
      <c r="F282" s="62"/>
    </row>
    <row r="283" ht="15.75" customHeight="1">
      <c r="E283" s="8"/>
      <c r="F283" s="62"/>
    </row>
    <row r="284" ht="15.75" customHeight="1">
      <c r="E284" s="8"/>
      <c r="F284" s="62"/>
    </row>
    <row r="285" ht="15.75" customHeight="1">
      <c r="E285" s="8"/>
      <c r="F285" s="62"/>
    </row>
    <row r="286" ht="15.75" customHeight="1">
      <c r="E286" s="8"/>
      <c r="F286" s="62"/>
    </row>
    <row r="287" ht="15.75" customHeight="1">
      <c r="E287" s="8"/>
      <c r="F287" s="62"/>
    </row>
    <row r="288" ht="15.75" customHeight="1">
      <c r="E288" s="8"/>
      <c r="F288" s="62"/>
    </row>
    <row r="289" ht="15.75" customHeight="1">
      <c r="E289" s="8"/>
      <c r="F289" s="62"/>
    </row>
    <row r="290" ht="15.75" customHeight="1">
      <c r="E290" s="8"/>
      <c r="F290" s="62"/>
    </row>
    <row r="291" ht="15.75" customHeight="1">
      <c r="E291" s="8"/>
      <c r="F291" s="62"/>
    </row>
    <row r="292" ht="15.75" customHeight="1">
      <c r="E292" s="8"/>
      <c r="F292" s="62"/>
    </row>
    <row r="293" ht="15.75" customHeight="1">
      <c r="E293" s="8"/>
      <c r="F293" s="62"/>
    </row>
    <row r="294" ht="15.75" customHeight="1">
      <c r="E294" s="8"/>
      <c r="F294" s="62"/>
    </row>
    <row r="295" ht="15.75" customHeight="1">
      <c r="E295" s="8"/>
      <c r="F295" s="62"/>
    </row>
    <row r="296" ht="15.75" customHeight="1">
      <c r="E296" s="8"/>
      <c r="F296" s="62"/>
    </row>
    <row r="297" ht="15.75" customHeight="1">
      <c r="E297" s="8"/>
      <c r="F297" s="62"/>
    </row>
    <row r="298" ht="15.75" customHeight="1">
      <c r="E298" s="8"/>
      <c r="F298" s="62"/>
    </row>
    <row r="299" ht="15.75" customHeight="1">
      <c r="E299" s="8"/>
      <c r="F299" s="62"/>
    </row>
    <row r="300" ht="15.75" customHeight="1">
      <c r="E300" s="8"/>
      <c r="F300" s="62"/>
    </row>
    <row r="301" ht="15.75" customHeight="1">
      <c r="E301" s="8"/>
      <c r="F301" s="62"/>
    </row>
    <row r="302" ht="15.75" customHeight="1">
      <c r="E302" s="8"/>
      <c r="F302" s="62"/>
    </row>
    <row r="303" ht="15.75" customHeight="1">
      <c r="E303" s="8"/>
      <c r="F303" s="62"/>
    </row>
    <row r="304" ht="15.75" customHeight="1">
      <c r="E304" s="8"/>
      <c r="F304" s="62"/>
    </row>
    <row r="305" ht="15.75" customHeight="1">
      <c r="E305" s="8"/>
      <c r="F305" s="62"/>
    </row>
    <row r="306" ht="15.75" customHeight="1">
      <c r="E306" s="8"/>
      <c r="F306" s="62"/>
    </row>
    <row r="307" ht="15.75" customHeight="1">
      <c r="E307" s="8"/>
      <c r="F307" s="62"/>
    </row>
    <row r="308" ht="15.75" customHeight="1">
      <c r="E308" s="8"/>
      <c r="F308" s="62"/>
    </row>
    <row r="309" ht="15.75" customHeight="1">
      <c r="E309" s="8"/>
      <c r="F309" s="62"/>
    </row>
    <row r="310" ht="15.75" customHeight="1">
      <c r="E310" s="8"/>
      <c r="F310" s="62"/>
    </row>
    <row r="311" ht="15.75" customHeight="1">
      <c r="E311" s="8"/>
      <c r="F311" s="62"/>
    </row>
    <row r="312" ht="15.75" customHeight="1">
      <c r="E312" s="8"/>
      <c r="F312" s="62"/>
    </row>
    <row r="313" ht="15.75" customHeight="1">
      <c r="E313" s="8"/>
      <c r="F313" s="62"/>
    </row>
    <row r="314" ht="15.75" customHeight="1">
      <c r="E314" s="8"/>
      <c r="F314" s="62"/>
    </row>
    <row r="315" ht="15.75" customHeight="1">
      <c r="E315" s="8"/>
      <c r="F315" s="62"/>
    </row>
    <row r="316" ht="15.75" customHeight="1">
      <c r="E316" s="8"/>
      <c r="F316" s="62"/>
    </row>
    <row r="317" ht="15.75" customHeight="1">
      <c r="E317" s="8"/>
      <c r="F317" s="62"/>
    </row>
    <row r="318" ht="15.75" customHeight="1">
      <c r="E318" s="8"/>
      <c r="F318" s="62"/>
    </row>
    <row r="319" ht="15.75" customHeight="1">
      <c r="E319" s="8"/>
      <c r="F319" s="62"/>
    </row>
    <row r="320" ht="15.75" customHeight="1">
      <c r="E320" s="8"/>
      <c r="F320" s="62"/>
    </row>
    <row r="321" ht="15.75" customHeight="1">
      <c r="E321" s="8"/>
      <c r="F321" s="62"/>
    </row>
    <row r="322" ht="15.75" customHeight="1">
      <c r="E322" s="8"/>
      <c r="F322" s="62"/>
    </row>
    <row r="323" ht="15.75" customHeight="1">
      <c r="E323" s="8"/>
      <c r="F323" s="62"/>
    </row>
    <row r="324" ht="15.75" customHeight="1">
      <c r="E324" s="8"/>
      <c r="F324" s="62"/>
    </row>
    <row r="325" ht="15.75" customHeight="1">
      <c r="E325" s="8"/>
      <c r="F325" s="62"/>
    </row>
    <row r="326" ht="15.75" customHeight="1">
      <c r="E326" s="8"/>
      <c r="F326" s="62"/>
    </row>
    <row r="327" ht="15.75" customHeight="1">
      <c r="E327" s="8"/>
      <c r="F327" s="62"/>
    </row>
    <row r="328" ht="15.75" customHeight="1">
      <c r="E328" s="8"/>
      <c r="F328" s="62"/>
    </row>
    <row r="329" ht="15.75" customHeight="1">
      <c r="E329" s="8"/>
      <c r="F329" s="62"/>
    </row>
    <row r="330" ht="15.75" customHeight="1">
      <c r="E330" s="8"/>
      <c r="F330" s="62"/>
    </row>
    <row r="331" ht="15.75" customHeight="1">
      <c r="E331" s="8"/>
      <c r="F331" s="62"/>
    </row>
    <row r="332" ht="15.75" customHeight="1">
      <c r="E332" s="8"/>
      <c r="F332" s="62"/>
    </row>
    <row r="333" ht="15.75" customHeight="1">
      <c r="E333" s="8"/>
      <c r="F333" s="62"/>
    </row>
    <row r="334" ht="15.75" customHeight="1">
      <c r="E334" s="8"/>
      <c r="F334" s="62"/>
    </row>
    <row r="335" ht="15.75" customHeight="1">
      <c r="E335" s="8"/>
      <c r="F335" s="62"/>
    </row>
    <row r="336" ht="15.75" customHeight="1">
      <c r="E336" s="8"/>
      <c r="F336" s="62"/>
    </row>
    <row r="337" ht="15.75" customHeight="1">
      <c r="E337" s="8"/>
      <c r="F337" s="62"/>
    </row>
    <row r="338" ht="15.75" customHeight="1">
      <c r="E338" s="8"/>
      <c r="F338" s="62"/>
    </row>
    <row r="339" ht="15.75" customHeight="1">
      <c r="E339" s="8"/>
      <c r="F339" s="62"/>
    </row>
    <row r="340" ht="15.75" customHeight="1">
      <c r="E340" s="8"/>
      <c r="F340" s="62"/>
    </row>
    <row r="341" ht="15.75" customHeight="1">
      <c r="E341" s="8"/>
      <c r="F341" s="62"/>
    </row>
    <row r="342" ht="15.75" customHeight="1">
      <c r="E342" s="8"/>
      <c r="F342" s="62"/>
    </row>
    <row r="343" ht="15.75" customHeight="1">
      <c r="E343" s="8"/>
      <c r="F343" s="62"/>
    </row>
    <row r="344" ht="15.75" customHeight="1">
      <c r="E344" s="8"/>
      <c r="F344" s="62"/>
    </row>
    <row r="345" ht="15.75" customHeight="1">
      <c r="E345" s="8"/>
      <c r="F345" s="62"/>
    </row>
    <row r="346" ht="15.75" customHeight="1">
      <c r="E346" s="8"/>
      <c r="F346" s="62"/>
    </row>
    <row r="347" ht="15.75" customHeight="1">
      <c r="E347" s="8"/>
      <c r="F347" s="62"/>
    </row>
    <row r="348" ht="15.75" customHeight="1">
      <c r="E348" s="8"/>
      <c r="F348" s="62"/>
    </row>
    <row r="349" ht="15.75" customHeight="1">
      <c r="E349" s="8"/>
      <c r="F349" s="62"/>
    </row>
    <row r="350" ht="15.75" customHeight="1">
      <c r="E350" s="8"/>
      <c r="F350" s="62"/>
    </row>
    <row r="351" ht="15.75" customHeight="1">
      <c r="E351" s="8"/>
      <c r="F351" s="62"/>
    </row>
    <row r="352" ht="15.75" customHeight="1">
      <c r="E352" s="8"/>
      <c r="F352" s="62"/>
    </row>
    <row r="353" ht="15.75" customHeight="1">
      <c r="E353" s="8"/>
      <c r="F353" s="62"/>
    </row>
    <row r="354" ht="15.75" customHeight="1">
      <c r="E354" s="8"/>
      <c r="F354" s="62"/>
    </row>
    <row r="355" ht="15.75" customHeight="1">
      <c r="E355" s="8"/>
      <c r="F355" s="62"/>
    </row>
    <row r="356" ht="15.75" customHeight="1">
      <c r="E356" s="8"/>
      <c r="F356" s="62"/>
    </row>
    <row r="357" ht="15.75" customHeight="1">
      <c r="E357" s="8"/>
      <c r="F357" s="62"/>
    </row>
    <row r="358" ht="15.75" customHeight="1">
      <c r="E358" s="8"/>
      <c r="F358" s="62"/>
    </row>
    <row r="359" ht="15.75" customHeight="1">
      <c r="E359" s="8"/>
      <c r="F359" s="62"/>
    </row>
    <row r="360" ht="15.75" customHeight="1">
      <c r="E360" s="8"/>
      <c r="F360" s="62"/>
    </row>
    <row r="361" ht="15.75" customHeight="1">
      <c r="E361" s="8"/>
      <c r="F361" s="62"/>
    </row>
    <row r="362" ht="15.75" customHeight="1">
      <c r="E362" s="8"/>
      <c r="F362" s="62"/>
    </row>
    <row r="363" ht="15.75" customHeight="1">
      <c r="E363" s="8"/>
      <c r="F363" s="62"/>
    </row>
    <row r="364" ht="15.75" customHeight="1">
      <c r="E364" s="8"/>
      <c r="F364" s="62"/>
    </row>
    <row r="365" ht="15.75" customHeight="1">
      <c r="E365" s="8"/>
      <c r="F365" s="62"/>
    </row>
    <row r="366" ht="15.75" customHeight="1">
      <c r="E366" s="8"/>
      <c r="F366" s="62"/>
    </row>
    <row r="367" ht="15.75" customHeight="1">
      <c r="E367" s="8"/>
      <c r="F367" s="62"/>
    </row>
    <row r="368" ht="15.75" customHeight="1">
      <c r="E368" s="8"/>
      <c r="F368" s="62"/>
    </row>
    <row r="369" ht="15.75" customHeight="1">
      <c r="E369" s="8"/>
      <c r="F369" s="62"/>
    </row>
    <row r="370" ht="15.75" customHeight="1">
      <c r="E370" s="8"/>
      <c r="F370" s="62"/>
    </row>
    <row r="371" ht="15.75" customHeight="1">
      <c r="E371" s="8"/>
      <c r="F371" s="62"/>
    </row>
    <row r="372" ht="15.75" customHeight="1">
      <c r="E372" s="8"/>
      <c r="F372" s="62"/>
    </row>
    <row r="373" ht="15.75" customHeight="1">
      <c r="E373" s="8"/>
      <c r="F373" s="62"/>
    </row>
    <row r="374" ht="15.75" customHeight="1">
      <c r="E374" s="8"/>
      <c r="F374" s="62"/>
    </row>
    <row r="375" ht="15.75" customHeight="1">
      <c r="E375" s="8"/>
      <c r="F375" s="62"/>
    </row>
    <row r="376" ht="15.75" customHeight="1">
      <c r="E376" s="8"/>
      <c r="F376" s="62"/>
    </row>
    <row r="377" ht="15.75" customHeight="1">
      <c r="E377" s="8"/>
      <c r="F377" s="62"/>
    </row>
    <row r="378" ht="15.75" customHeight="1">
      <c r="E378" s="8"/>
      <c r="F378" s="62"/>
    </row>
    <row r="379" ht="15.75" customHeight="1">
      <c r="E379" s="8"/>
      <c r="F379" s="62"/>
    </row>
    <row r="380" ht="15.75" customHeight="1">
      <c r="E380" s="8"/>
      <c r="F380" s="62"/>
    </row>
    <row r="381" ht="15.75" customHeight="1">
      <c r="E381" s="8"/>
      <c r="F381" s="62"/>
    </row>
    <row r="382" ht="15.75" customHeight="1">
      <c r="E382" s="8"/>
      <c r="F382" s="62"/>
    </row>
    <row r="383" ht="15.75" customHeight="1">
      <c r="E383" s="8"/>
      <c r="F383" s="62"/>
    </row>
    <row r="384" ht="15.75" customHeight="1">
      <c r="E384" s="8"/>
      <c r="F384" s="62"/>
    </row>
    <row r="385" ht="15.75" customHeight="1">
      <c r="E385" s="8"/>
      <c r="F385" s="62"/>
    </row>
    <row r="386" ht="15.75" customHeight="1">
      <c r="E386" s="8"/>
      <c r="F386" s="62"/>
    </row>
    <row r="387" ht="15.75" customHeight="1">
      <c r="E387" s="8"/>
      <c r="F387" s="62"/>
    </row>
    <row r="388" ht="15.75" customHeight="1">
      <c r="E388" s="8"/>
      <c r="F388" s="62"/>
    </row>
    <row r="389" ht="15.75" customHeight="1">
      <c r="E389" s="8"/>
      <c r="F389" s="62"/>
    </row>
    <row r="390" ht="15.75" customHeight="1">
      <c r="E390" s="8"/>
      <c r="F390" s="62"/>
    </row>
    <row r="391" ht="15.75" customHeight="1">
      <c r="E391" s="8"/>
      <c r="F391" s="62"/>
    </row>
    <row r="392" ht="15.75" customHeight="1">
      <c r="E392" s="8"/>
      <c r="F392" s="62"/>
    </row>
    <row r="393" ht="15.75" customHeight="1">
      <c r="E393" s="8"/>
      <c r="F393" s="62"/>
    </row>
    <row r="394" ht="15.75" customHeight="1">
      <c r="E394" s="8"/>
      <c r="F394" s="62"/>
    </row>
    <row r="395" ht="15.75" customHeight="1">
      <c r="E395" s="8"/>
      <c r="F395" s="62"/>
    </row>
    <row r="396" ht="15.75" customHeight="1">
      <c r="E396" s="8"/>
      <c r="F396" s="62"/>
    </row>
    <row r="397" ht="15.75" customHeight="1">
      <c r="E397" s="8"/>
      <c r="F397" s="62"/>
    </row>
    <row r="398" ht="15.75" customHeight="1">
      <c r="E398" s="8"/>
      <c r="F398" s="62"/>
    </row>
    <row r="399" ht="15.75" customHeight="1">
      <c r="E399" s="8"/>
      <c r="F399" s="62"/>
    </row>
    <row r="400" ht="15.75" customHeight="1">
      <c r="E400" s="8"/>
      <c r="F400" s="62"/>
    </row>
    <row r="401" ht="15.75" customHeight="1">
      <c r="E401" s="8"/>
      <c r="F401" s="62"/>
    </row>
    <row r="402" ht="15.75" customHeight="1">
      <c r="E402" s="8"/>
      <c r="F402" s="62"/>
    </row>
    <row r="403" ht="15.75" customHeight="1">
      <c r="E403" s="8"/>
      <c r="F403" s="62"/>
    </row>
    <row r="404" ht="15.75" customHeight="1">
      <c r="E404" s="8"/>
      <c r="F404" s="62"/>
    </row>
    <row r="405" ht="15.75" customHeight="1">
      <c r="E405" s="8"/>
      <c r="F405" s="62"/>
    </row>
    <row r="406" ht="15.75" customHeight="1">
      <c r="E406" s="8"/>
      <c r="F406" s="62"/>
    </row>
    <row r="407" ht="15.75" customHeight="1">
      <c r="E407" s="8"/>
      <c r="F407" s="62"/>
    </row>
    <row r="408" ht="15.75" customHeight="1">
      <c r="E408" s="8"/>
      <c r="F408" s="62"/>
    </row>
    <row r="409" ht="15.75" customHeight="1">
      <c r="E409" s="8"/>
      <c r="F409" s="62"/>
    </row>
    <row r="410" ht="15.75" customHeight="1">
      <c r="E410" s="8"/>
      <c r="F410" s="62"/>
    </row>
    <row r="411" ht="15.75" customHeight="1">
      <c r="E411" s="8"/>
      <c r="F411" s="62"/>
    </row>
    <row r="412" ht="15.75" customHeight="1">
      <c r="E412" s="8"/>
      <c r="F412" s="62"/>
    </row>
    <row r="413" ht="15.75" customHeight="1">
      <c r="E413" s="8"/>
      <c r="F413" s="62"/>
    </row>
    <row r="414" ht="15.75" customHeight="1">
      <c r="E414" s="8"/>
      <c r="F414" s="62"/>
    </row>
    <row r="415" ht="15.75" customHeight="1">
      <c r="E415" s="8"/>
      <c r="F415" s="62"/>
    </row>
    <row r="416" ht="15.75" customHeight="1">
      <c r="E416" s="8"/>
      <c r="F416" s="62"/>
    </row>
    <row r="417" ht="15.75" customHeight="1">
      <c r="E417" s="8"/>
      <c r="F417" s="62"/>
    </row>
    <row r="418" ht="15.75" customHeight="1">
      <c r="E418" s="8"/>
      <c r="F418" s="62"/>
    </row>
    <row r="419" ht="15.75" customHeight="1">
      <c r="E419" s="8"/>
      <c r="F419" s="62"/>
    </row>
    <row r="420" ht="15.75" customHeight="1">
      <c r="E420" s="8"/>
      <c r="F420" s="62"/>
    </row>
    <row r="421" ht="15.75" customHeight="1">
      <c r="E421" s="8"/>
      <c r="F421" s="62"/>
    </row>
    <row r="422" ht="15.75" customHeight="1">
      <c r="E422" s="8"/>
      <c r="F422" s="62"/>
    </row>
    <row r="423" ht="15.75" customHeight="1">
      <c r="E423" s="8"/>
      <c r="F423" s="62"/>
    </row>
    <row r="424" ht="15.75" customHeight="1">
      <c r="E424" s="8"/>
      <c r="F424" s="62"/>
    </row>
    <row r="425" ht="15.75" customHeight="1">
      <c r="E425" s="8"/>
      <c r="F425" s="62"/>
    </row>
    <row r="426" ht="15.75" customHeight="1">
      <c r="E426" s="8"/>
      <c r="F426" s="62"/>
    </row>
    <row r="427" ht="15.75" customHeight="1">
      <c r="E427" s="8"/>
      <c r="F427" s="62"/>
    </row>
    <row r="428" ht="15.75" customHeight="1">
      <c r="E428" s="8"/>
      <c r="F428" s="62"/>
    </row>
    <row r="429" ht="15.75" customHeight="1">
      <c r="E429" s="8"/>
      <c r="F429" s="62"/>
    </row>
    <row r="430" ht="15.75" customHeight="1">
      <c r="E430" s="8"/>
      <c r="F430" s="62"/>
    </row>
    <row r="431" ht="15.75" customHeight="1">
      <c r="E431" s="8"/>
      <c r="F431" s="62"/>
    </row>
    <row r="432" ht="15.75" customHeight="1">
      <c r="E432" s="8"/>
      <c r="F432" s="62"/>
    </row>
    <row r="433" ht="15.75" customHeight="1">
      <c r="E433" s="8"/>
      <c r="F433" s="62"/>
    </row>
    <row r="434" ht="15.75" customHeight="1">
      <c r="E434" s="8"/>
      <c r="F434" s="62"/>
    </row>
    <row r="435" ht="15.75" customHeight="1">
      <c r="E435" s="8"/>
      <c r="F435" s="62"/>
    </row>
    <row r="436" ht="15.75" customHeight="1">
      <c r="E436" s="8"/>
      <c r="F436" s="62"/>
    </row>
    <row r="437" ht="15.75" customHeight="1">
      <c r="E437" s="8"/>
      <c r="F437" s="62"/>
    </row>
    <row r="438" ht="15.75" customHeight="1">
      <c r="E438" s="8"/>
      <c r="F438" s="62"/>
    </row>
    <row r="439" ht="15.75" customHeight="1">
      <c r="E439" s="8"/>
      <c r="F439" s="62"/>
    </row>
    <row r="440" ht="15.75" customHeight="1">
      <c r="E440" s="8"/>
      <c r="F440" s="62"/>
    </row>
    <row r="441" ht="15.75" customHeight="1">
      <c r="E441" s="8"/>
      <c r="F441" s="62"/>
    </row>
    <row r="442" ht="15.75" customHeight="1">
      <c r="E442" s="8"/>
      <c r="F442" s="62"/>
    </row>
    <row r="443" ht="15.75" customHeight="1">
      <c r="E443" s="8"/>
      <c r="F443" s="62"/>
    </row>
    <row r="444" ht="15.75" customHeight="1">
      <c r="E444" s="8"/>
      <c r="F444" s="62"/>
    </row>
    <row r="445" ht="15.75" customHeight="1">
      <c r="E445" s="8"/>
      <c r="F445" s="62"/>
    </row>
    <row r="446" ht="15.75" customHeight="1">
      <c r="E446" s="8"/>
      <c r="F446" s="62"/>
    </row>
    <row r="447" ht="15.75" customHeight="1">
      <c r="E447" s="8"/>
      <c r="F447" s="62"/>
    </row>
    <row r="448" ht="15.75" customHeight="1">
      <c r="E448" s="8"/>
      <c r="F448" s="62"/>
    </row>
    <row r="449" ht="15.75" customHeight="1">
      <c r="E449" s="8"/>
      <c r="F449" s="62"/>
    </row>
    <row r="450" ht="15.75" customHeight="1">
      <c r="E450" s="8"/>
      <c r="F450" s="62"/>
    </row>
    <row r="451" ht="15.75" customHeight="1">
      <c r="E451" s="8"/>
      <c r="F451" s="62"/>
    </row>
    <row r="452" ht="15.75" customHeight="1">
      <c r="E452" s="8"/>
      <c r="F452" s="62"/>
    </row>
    <row r="453" ht="15.75" customHeight="1">
      <c r="E453" s="8"/>
      <c r="F453" s="62"/>
    </row>
    <row r="454" ht="15.75" customHeight="1">
      <c r="E454" s="8"/>
      <c r="F454" s="62"/>
    </row>
    <row r="455" ht="15.75" customHeight="1">
      <c r="E455" s="8"/>
      <c r="F455" s="62"/>
    </row>
    <row r="456" ht="15.75" customHeight="1">
      <c r="E456" s="8"/>
      <c r="F456" s="62"/>
    </row>
    <row r="457" ht="15.75" customHeight="1">
      <c r="E457" s="8"/>
      <c r="F457" s="62"/>
    </row>
    <row r="458" ht="15.75" customHeight="1">
      <c r="E458" s="8"/>
      <c r="F458" s="62"/>
    </row>
    <row r="459" ht="15.75" customHeight="1">
      <c r="E459" s="8"/>
      <c r="F459" s="62"/>
    </row>
    <row r="460" ht="15.75" customHeight="1">
      <c r="E460" s="8"/>
      <c r="F460" s="62"/>
    </row>
    <row r="461" ht="15.75" customHeight="1">
      <c r="E461" s="8"/>
      <c r="F461" s="62"/>
    </row>
    <row r="462" ht="15.75" customHeight="1">
      <c r="E462" s="8"/>
      <c r="F462" s="62"/>
    </row>
    <row r="463" ht="15.75" customHeight="1">
      <c r="E463" s="8"/>
      <c r="F463" s="62"/>
    </row>
    <row r="464" ht="15.75" customHeight="1">
      <c r="E464" s="8"/>
      <c r="F464" s="62"/>
    </row>
    <row r="465" ht="15.75" customHeight="1">
      <c r="E465" s="8"/>
      <c r="F465" s="62"/>
    </row>
    <row r="466" ht="15.75" customHeight="1">
      <c r="E466" s="8"/>
      <c r="F466" s="62"/>
    </row>
    <row r="467" ht="15.75" customHeight="1">
      <c r="E467" s="8"/>
      <c r="F467" s="62"/>
    </row>
    <row r="468" ht="15.75" customHeight="1">
      <c r="E468" s="8"/>
      <c r="F468" s="62"/>
    </row>
    <row r="469" ht="15.75" customHeight="1">
      <c r="E469" s="8"/>
      <c r="F469" s="62"/>
    </row>
    <row r="470" ht="15.75" customHeight="1">
      <c r="E470" s="8"/>
      <c r="F470" s="62"/>
    </row>
    <row r="471" ht="15.75" customHeight="1">
      <c r="E471" s="8"/>
      <c r="F471" s="62"/>
    </row>
    <row r="472" ht="15.75" customHeight="1">
      <c r="E472" s="8"/>
      <c r="F472" s="62"/>
    </row>
    <row r="473" ht="15.75" customHeight="1">
      <c r="E473" s="8"/>
      <c r="F473" s="62"/>
    </row>
    <row r="474" ht="15.75" customHeight="1">
      <c r="E474" s="8"/>
      <c r="F474" s="62"/>
    </row>
    <row r="475" ht="15.75" customHeight="1">
      <c r="E475" s="8"/>
      <c r="F475" s="62"/>
    </row>
    <row r="476" ht="15.75" customHeight="1">
      <c r="E476" s="8"/>
      <c r="F476" s="62"/>
    </row>
    <row r="477" ht="15.75" customHeight="1">
      <c r="E477" s="8"/>
      <c r="F477" s="62"/>
    </row>
    <row r="478" ht="15.75" customHeight="1">
      <c r="E478" s="8"/>
      <c r="F478" s="62"/>
    </row>
    <row r="479" ht="15.75" customHeight="1">
      <c r="E479" s="8"/>
      <c r="F479" s="62"/>
    </row>
    <row r="480" ht="15.75" customHeight="1">
      <c r="E480" s="8"/>
      <c r="F480" s="62"/>
    </row>
    <row r="481" ht="15.75" customHeight="1">
      <c r="E481" s="8"/>
      <c r="F481" s="62"/>
    </row>
    <row r="482" ht="15.75" customHeight="1">
      <c r="E482" s="8"/>
      <c r="F482" s="62"/>
    </row>
    <row r="483" ht="15.75" customHeight="1">
      <c r="E483" s="8"/>
      <c r="F483" s="62"/>
    </row>
    <row r="484" ht="15.75" customHeight="1">
      <c r="E484" s="8"/>
      <c r="F484" s="62"/>
    </row>
    <row r="485" ht="15.75" customHeight="1">
      <c r="E485" s="8"/>
      <c r="F485" s="62"/>
    </row>
    <row r="486" ht="15.75" customHeight="1">
      <c r="E486" s="8"/>
      <c r="F486" s="62"/>
    </row>
    <row r="487" ht="15.75" customHeight="1">
      <c r="E487" s="8"/>
      <c r="F487" s="62"/>
    </row>
    <row r="488" ht="15.75" customHeight="1">
      <c r="E488" s="8"/>
      <c r="F488" s="62"/>
    </row>
    <row r="489" ht="15.75" customHeight="1">
      <c r="E489" s="8"/>
      <c r="F489" s="62"/>
    </row>
    <row r="490" ht="15.75" customHeight="1">
      <c r="E490" s="8"/>
      <c r="F490" s="62"/>
    </row>
    <row r="491" ht="15.75" customHeight="1">
      <c r="E491" s="8"/>
      <c r="F491" s="62"/>
    </row>
    <row r="492" ht="15.75" customHeight="1">
      <c r="E492" s="8"/>
      <c r="F492" s="62"/>
    </row>
    <row r="493" ht="15.75" customHeight="1">
      <c r="E493" s="8"/>
      <c r="F493" s="62"/>
    </row>
    <row r="494" ht="15.75" customHeight="1">
      <c r="E494" s="8"/>
      <c r="F494" s="62"/>
    </row>
    <row r="495" ht="15.75" customHeight="1">
      <c r="E495" s="8"/>
      <c r="F495" s="62"/>
    </row>
    <row r="496" ht="15.75" customHeight="1">
      <c r="E496" s="8"/>
      <c r="F496" s="62"/>
    </row>
    <row r="497" ht="15.75" customHeight="1">
      <c r="E497" s="8"/>
      <c r="F497" s="62"/>
    </row>
    <row r="498" ht="15.75" customHeight="1">
      <c r="E498" s="8"/>
      <c r="F498" s="62"/>
    </row>
    <row r="499" ht="15.75" customHeight="1">
      <c r="E499" s="8"/>
      <c r="F499" s="62"/>
    </row>
    <row r="500" ht="15.75" customHeight="1">
      <c r="E500" s="8"/>
      <c r="F500" s="62"/>
    </row>
    <row r="501" ht="15.75" customHeight="1">
      <c r="E501" s="8"/>
      <c r="F501" s="62"/>
    </row>
    <row r="502" ht="15.75" customHeight="1">
      <c r="E502" s="8"/>
      <c r="F502" s="62"/>
    </row>
    <row r="503" ht="15.75" customHeight="1">
      <c r="E503" s="8"/>
      <c r="F503" s="62"/>
    </row>
    <row r="504" ht="15.75" customHeight="1">
      <c r="E504" s="8"/>
      <c r="F504" s="62"/>
    </row>
    <row r="505" ht="15.75" customHeight="1">
      <c r="E505" s="8"/>
      <c r="F505" s="62"/>
    </row>
    <row r="506" ht="15.75" customHeight="1">
      <c r="E506" s="8"/>
      <c r="F506" s="62"/>
    </row>
    <row r="507" ht="15.75" customHeight="1">
      <c r="E507" s="8"/>
      <c r="F507" s="62"/>
    </row>
    <row r="508" ht="15.75" customHeight="1">
      <c r="E508" s="8"/>
      <c r="F508" s="62"/>
    </row>
    <row r="509" ht="15.75" customHeight="1">
      <c r="E509" s="8"/>
      <c r="F509" s="62"/>
    </row>
    <row r="510" ht="15.75" customHeight="1">
      <c r="E510" s="8"/>
      <c r="F510" s="62"/>
    </row>
    <row r="511" ht="15.75" customHeight="1">
      <c r="E511" s="8"/>
      <c r="F511" s="62"/>
    </row>
    <row r="512" ht="15.75" customHeight="1">
      <c r="E512" s="8"/>
      <c r="F512" s="62"/>
    </row>
    <row r="513" ht="15.75" customHeight="1">
      <c r="E513" s="8"/>
      <c r="F513" s="62"/>
    </row>
    <row r="514" ht="15.75" customHeight="1">
      <c r="E514" s="8"/>
      <c r="F514" s="62"/>
    </row>
    <row r="515" ht="15.75" customHeight="1">
      <c r="E515" s="8"/>
      <c r="F515" s="62"/>
    </row>
    <row r="516" ht="15.75" customHeight="1">
      <c r="E516" s="8"/>
      <c r="F516" s="62"/>
    </row>
    <row r="517" ht="15.75" customHeight="1">
      <c r="E517" s="8"/>
      <c r="F517" s="62"/>
    </row>
    <row r="518" ht="15.75" customHeight="1">
      <c r="E518" s="8"/>
      <c r="F518" s="62"/>
    </row>
    <row r="519" ht="15.75" customHeight="1">
      <c r="E519" s="8"/>
      <c r="F519" s="62"/>
    </row>
    <row r="520" ht="15.75" customHeight="1">
      <c r="E520" s="8"/>
      <c r="F520" s="62"/>
    </row>
    <row r="521" ht="15.75" customHeight="1">
      <c r="E521" s="8"/>
      <c r="F521" s="62"/>
    </row>
    <row r="522" ht="15.75" customHeight="1">
      <c r="E522" s="8"/>
      <c r="F522" s="62"/>
    </row>
    <row r="523" ht="15.75" customHeight="1">
      <c r="E523" s="8"/>
      <c r="F523" s="62"/>
    </row>
    <row r="524" ht="15.75" customHeight="1">
      <c r="E524" s="8"/>
      <c r="F524" s="62"/>
    </row>
    <row r="525" ht="15.75" customHeight="1">
      <c r="E525" s="8"/>
      <c r="F525" s="62"/>
    </row>
    <row r="526" ht="15.75" customHeight="1">
      <c r="E526" s="8"/>
      <c r="F526" s="62"/>
    </row>
    <row r="527" ht="15.75" customHeight="1">
      <c r="E527" s="8"/>
      <c r="F527" s="62"/>
    </row>
    <row r="528" ht="15.75" customHeight="1">
      <c r="E528" s="8"/>
      <c r="F528" s="62"/>
    </row>
    <row r="529" ht="15.75" customHeight="1">
      <c r="E529" s="8"/>
      <c r="F529" s="62"/>
    </row>
    <row r="530" ht="15.75" customHeight="1">
      <c r="E530" s="8"/>
      <c r="F530" s="62"/>
    </row>
    <row r="531" ht="15.75" customHeight="1">
      <c r="E531" s="8"/>
      <c r="F531" s="62"/>
    </row>
    <row r="532" ht="15.75" customHeight="1">
      <c r="E532" s="8"/>
      <c r="F532" s="62"/>
    </row>
    <row r="533" ht="15.75" customHeight="1">
      <c r="E533" s="8"/>
      <c r="F533" s="62"/>
    </row>
    <row r="534" ht="15.75" customHeight="1">
      <c r="E534" s="8"/>
      <c r="F534" s="62"/>
    </row>
    <row r="535" ht="15.75" customHeight="1">
      <c r="E535" s="8"/>
      <c r="F535" s="62"/>
    </row>
    <row r="536" ht="15.75" customHeight="1">
      <c r="E536" s="8"/>
      <c r="F536" s="62"/>
    </row>
    <row r="537" ht="15.75" customHeight="1">
      <c r="E537" s="8"/>
      <c r="F537" s="62"/>
    </row>
    <row r="538" ht="15.75" customHeight="1">
      <c r="E538" s="8"/>
      <c r="F538" s="62"/>
    </row>
    <row r="539" ht="15.75" customHeight="1">
      <c r="E539" s="8"/>
      <c r="F539" s="62"/>
    </row>
    <row r="540" ht="15.75" customHeight="1">
      <c r="E540" s="8"/>
      <c r="F540" s="62"/>
    </row>
    <row r="541" ht="15.75" customHeight="1">
      <c r="E541" s="8"/>
      <c r="F541" s="62"/>
    </row>
    <row r="542" ht="15.75" customHeight="1">
      <c r="E542" s="8"/>
      <c r="F542" s="62"/>
    </row>
    <row r="543" ht="15.75" customHeight="1">
      <c r="E543" s="8"/>
      <c r="F543" s="62"/>
    </row>
    <row r="544" ht="15.75" customHeight="1">
      <c r="E544" s="8"/>
      <c r="F544" s="62"/>
    </row>
    <row r="545" ht="15.75" customHeight="1">
      <c r="E545" s="8"/>
      <c r="F545" s="62"/>
    </row>
    <row r="546" ht="15.75" customHeight="1">
      <c r="E546" s="8"/>
      <c r="F546" s="62"/>
    </row>
    <row r="547" ht="15.75" customHeight="1">
      <c r="E547" s="8"/>
      <c r="F547" s="62"/>
    </row>
    <row r="548" ht="15.75" customHeight="1">
      <c r="E548" s="8"/>
      <c r="F548" s="62"/>
    </row>
    <row r="549" ht="15.75" customHeight="1">
      <c r="E549" s="8"/>
      <c r="F549" s="62"/>
    </row>
    <row r="550" ht="15.75" customHeight="1">
      <c r="E550" s="8"/>
      <c r="F550" s="62"/>
    </row>
    <row r="551" ht="15.75" customHeight="1">
      <c r="E551" s="8"/>
      <c r="F551" s="62"/>
    </row>
    <row r="552" ht="15.75" customHeight="1">
      <c r="E552" s="8"/>
      <c r="F552" s="62"/>
    </row>
    <row r="553" ht="15.75" customHeight="1">
      <c r="E553" s="8"/>
      <c r="F553" s="62"/>
    </row>
    <row r="554" ht="15.75" customHeight="1">
      <c r="E554" s="8"/>
      <c r="F554" s="62"/>
    </row>
    <row r="555" ht="15.75" customHeight="1">
      <c r="E555" s="8"/>
      <c r="F555" s="62"/>
    </row>
    <row r="556" ht="15.75" customHeight="1">
      <c r="E556" s="8"/>
      <c r="F556" s="62"/>
    </row>
    <row r="557" ht="15.75" customHeight="1">
      <c r="E557" s="8"/>
      <c r="F557" s="62"/>
    </row>
    <row r="558" ht="15.75" customHeight="1">
      <c r="E558" s="8"/>
      <c r="F558" s="62"/>
    </row>
    <row r="559" ht="15.75" customHeight="1">
      <c r="E559" s="8"/>
      <c r="F559" s="62"/>
    </row>
    <row r="560" ht="15.75" customHeight="1">
      <c r="E560" s="8"/>
      <c r="F560" s="62"/>
    </row>
    <row r="561" ht="15.75" customHeight="1">
      <c r="E561" s="8"/>
      <c r="F561" s="62"/>
    </row>
    <row r="562" ht="15.75" customHeight="1">
      <c r="E562" s="8"/>
      <c r="F562" s="62"/>
    </row>
    <row r="563" ht="15.75" customHeight="1">
      <c r="E563" s="8"/>
      <c r="F563" s="62"/>
    </row>
    <row r="564" ht="15.75" customHeight="1">
      <c r="E564" s="8"/>
      <c r="F564" s="62"/>
    </row>
    <row r="565" ht="15.75" customHeight="1">
      <c r="E565" s="8"/>
      <c r="F565" s="62"/>
    </row>
    <row r="566" ht="15.75" customHeight="1">
      <c r="E566" s="8"/>
      <c r="F566" s="62"/>
    </row>
    <row r="567" ht="15.75" customHeight="1">
      <c r="E567" s="8"/>
      <c r="F567" s="62"/>
    </row>
    <row r="568" ht="15.75" customHeight="1">
      <c r="E568" s="8"/>
      <c r="F568" s="62"/>
    </row>
    <row r="569" ht="15.75" customHeight="1">
      <c r="E569" s="8"/>
      <c r="F569" s="62"/>
    </row>
    <row r="570" ht="15.75" customHeight="1">
      <c r="E570" s="8"/>
      <c r="F570" s="62"/>
    </row>
    <row r="571" ht="15.75" customHeight="1">
      <c r="E571" s="8"/>
      <c r="F571" s="62"/>
    </row>
    <row r="572" ht="15.75" customHeight="1">
      <c r="E572" s="8"/>
      <c r="F572" s="62"/>
    </row>
    <row r="573" ht="15.75" customHeight="1">
      <c r="E573" s="8"/>
      <c r="F573" s="62"/>
    </row>
    <row r="574" ht="15.75" customHeight="1">
      <c r="E574" s="8"/>
      <c r="F574" s="62"/>
    </row>
    <row r="575" ht="15.75" customHeight="1">
      <c r="E575" s="8"/>
      <c r="F575" s="62"/>
    </row>
    <row r="576" ht="15.75" customHeight="1">
      <c r="E576" s="8"/>
      <c r="F576" s="62"/>
    </row>
    <row r="577" ht="15.75" customHeight="1">
      <c r="E577" s="8"/>
      <c r="F577" s="62"/>
    </row>
    <row r="578" ht="15.75" customHeight="1">
      <c r="E578" s="8"/>
      <c r="F578" s="62"/>
    </row>
    <row r="579" ht="15.75" customHeight="1">
      <c r="E579" s="8"/>
      <c r="F579" s="62"/>
    </row>
    <row r="580" ht="15.75" customHeight="1">
      <c r="E580" s="8"/>
      <c r="F580" s="62"/>
    </row>
    <row r="581" ht="15.75" customHeight="1">
      <c r="E581" s="8"/>
      <c r="F581" s="62"/>
    </row>
    <row r="582" ht="15.75" customHeight="1">
      <c r="E582" s="8"/>
      <c r="F582" s="62"/>
    </row>
    <row r="583" ht="15.75" customHeight="1">
      <c r="E583" s="8"/>
      <c r="F583" s="62"/>
    </row>
    <row r="584" ht="15.75" customHeight="1">
      <c r="E584" s="8"/>
      <c r="F584" s="62"/>
    </row>
    <row r="585" ht="15.75" customHeight="1">
      <c r="E585" s="8"/>
      <c r="F585" s="62"/>
    </row>
    <row r="586" ht="15.75" customHeight="1">
      <c r="E586" s="8"/>
      <c r="F586" s="62"/>
    </row>
    <row r="587" ht="15.75" customHeight="1">
      <c r="E587" s="8"/>
      <c r="F587" s="62"/>
    </row>
    <row r="588" ht="15.75" customHeight="1">
      <c r="E588" s="8"/>
      <c r="F588" s="62"/>
    </row>
    <row r="589" ht="15.75" customHeight="1">
      <c r="E589" s="8"/>
      <c r="F589" s="62"/>
    </row>
    <row r="590" ht="15.75" customHeight="1">
      <c r="E590" s="8"/>
      <c r="F590" s="62"/>
    </row>
    <row r="591" ht="15.75" customHeight="1">
      <c r="E591" s="8"/>
      <c r="F591" s="62"/>
    </row>
    <row r="592" ht="15.75" customHeight="1">
      <c r="E592" s="8"/>
      <c r="F592" s="62"/>
    </row>
    <row r="593" ht="15.75" customHeight="1">
      <c r="E593" s="8"/>
      <c r="F593" s="62"/>
    </row>
    <row r="594" ht="15.75" customHeight="1">
      <c r="E594" s="8"/>
      <c r="F594" s="62"/>
    </row>
    <row r="595" ht="15.75" customHeight="1">
      <c r="E595" s="8"/>
      <c r="F595" s="62"/>
    </row>
    <row r="596" ht="15.75" customHeight="1">
      <c r="E596" s="8"/>
      <c r="F596" s="62"/>
    </row>
    <row r="597" ht="15.75" customHeight="1">
      <c r="E597" s="8"/>
      <c r="F597" s="62"/>
    </row>
    <row r="598" ht="15.75" customHeight="1">
      <c r="E598" s="8"/>
      <c r="F598" s="62"/>
    </row>
    <row r="599" ht="15.75" customHeight="1">
      <c r="E599" s="8"/>
      <c r="F599" s="62"/>
    </row>
    <row r="600" ht="15.75" customHeight="1">
      <c r="E600" s="8"/>
      <c r="F600" s="62"/>
    </row>
    <row r="601" ht="15.75" customHeight="1">
      <c r="E601" s="8"/>
      <c r="F601" s="62"/>
    </row>
    <row r="602" ht="15.75" customHeight="1">
      <c r="E602" s="8"/>
      <c r="F602" s="62"/>
    </row>
    <row r="603" ht="15.75" customHeight="1">
      <c r="E603" s="8"/>
      <c r="F603" s="62"/>
    </row>
    <row r="604" ht="15.75" customHeight="1">
      <c r="E604" s="8"/>
      <c r="F604" s="62"/>
    </row>
    <row r="605" ht="15.75" customHeight="1">
      <c r="E605" s="8"/>
      <c r="F605" s="62"/>
    </row>
    <row r="606" ht="15.75" customHeight="1">
      <c r="E606" s="8"/>
      <c r="F606" s="62"/>
    </row>
    <row r="607" ht="15.75" customHeight="1">
      <c r="E607" s="8"/>
      <c r="F607" s="62"/>
    </row>
    <row r="608" ht="15.75" customHeight="1">
      <c r="E608" s="8"/>
      <c r="F608" s="62"/>
    </row>
    <row r="609" ht="15.75" customHeight="1">
      <c r="E609" s="8"/>
      <c r="F609" s="62"/>
    </row>
    <row r="610" ht="15.75" customHeight="1">
      <c r="E610" s="8"/>
      <c r="F610" s="62"/>
    </row>
    <row r="611" ht="15.75" customHeight="1">
      <c r="E611" s="8"/>
      <c r="F611" s="62"/>
    </row>
    <row r="612" ht="15.75" customHeight="1">
      <c r="E612" s="8"/>
      <c r="F612" s="62"/>
    </row>
    <row r="613" ht="15.75" customHeight="1">
      <c r="E613" s="8"/>
      <c r="F613" s="62"/>
    </row>
    <row r="614" ht="15.75" customHeight="1">
      <c r="E614" s="8"/>
      <c r="F614" s="62"/>
    </row>
    <row r="615" ht="15.75" customHeight="1">
      <c r="E615" s="8"/>
      <c r="F615" s="62"/>
    </row>
    <row r="616" ht="15.75" customHeight="1">
      <c r="E616" s="8"/>
      <c r="F616" s="62"/>
    </row>
    <row r="617" ht="15.75" customHeight="1">
      <c r="E617" s="8"/>
      <c r="F617" s="62"/>
    </row>
    <row r="618" ht="15.75" customHeight="1">
      <c r="E618" s="8"/>
      <c r="F618" s="62"/>
    </row>
    <row r="619" ht="15.75" customHeight="1">
      <c r="E619" s="8"/>
      <c r="F619" s="62"/>
    </row>
    <row r="620" ht="15.75" customHeight="1">
      <c r="E620" s="8"/>
      <c r="F620" s="62"/>
    </row>
    <row r="621" ht="15.75" customHeight="1">
      <c r="E621" s="8"/>
      <c r="F621" s="62"/>
    </row>
    <row r="622" ht="15.75" customHeight="1">
      <c r="E622" s="8"/>
      <c r="F622" s="62"/>
    </row>
    <row r="623" ht="15.75" customHeight="1">
      <c r="E623" s="8"/>
      <c r="F623" s="62"/>
    </row>
    <row r="624" ht="15.75" customHeight="1">
      <c r="E624" s="8"/>
      <c r="F624" s="62"/>
    </row>
    <row r="625" ht="15.75" customHeight="1">
      <c r="E625" s="8"/>
      <c r="F625" s="62"/>
    </row>
    <row r="626" ht="15.75" customHeight="1">
      <c r="E626" s="8"/>
      <c r="F626" s="62"/>
    </row>
    <row r="627" ht="15.75" customHeight="1">
      <c r="E627" s="8"/>
      <c r="F627" s="62"/>
    </row>
    <row r="628" ht="15.75" customHeight="1">
      <c r="E628" s="8"/>
      <c r="F628" s="62"/>
    </row>
    <row r="629" ht="15.75" customHeight="1">
      <c r="E629" s="8"/>
      <c r="F629" s="62"/>
    </row>
    <row r="630" ht="15.75" customHeight="1">
      <c r="E630" s="8"/>
      <c r="F630" s="62"/>
    </row>
    <row r="631" ht="15.75" customHeight="1">
      <c r="E631" s="8"/>
      <c r="F631" s="62"/>
    </row>
    <row r="632" ht="15.75" customHeight="1">
      <c r="E632" s="8"/>
      <c r="F632" s="62"/>
    </row>
    <row r="633" ht="15.75" customHeight="1">
      <c r="E633" s="8"/>
      <c r="F633" s="62"/>
    </row>
    <row r="634" ht="15.75" customHeight="1">
      <c r="E634" s="8"/>
      <c r="F634" s="62"/>
    </row>
    <row r="635" ht="15.75" customHeight="1">
      <c r="E635" s="8"/>
      <c r="F635" s="62"/>
    </row>
    <row r="636" ht="15.75" customHeight="1">
      <c r="E636" s="8"/>
      <c r="F636" s="62"/>
    </row>
    <row r="637" ht="15.75" customHeight="1">
      <c r="E637" s="8"/>
      <c r="F637" s="62"/>
    </row>
    <row r="638" ht="15.75" customHeight="1">
      <c r="E638" s="8"/>
      <c r="F638" s="62"/>
    </row>
    <row r="639" ht="15.75" customHeight="1">
      <c r="E639" s="8"/>
      <c r="F639" s="62"/>
    </row>
    <row r="640" ht="15.75" customHeight="1">
      <c r="E640" s="8"/>
      <c r="F640" s="62"/>
    </row>
    <row r="641" ht="15.75" customHeight="1">
      <c r="E641" s="8"/>
      <c r="F641" s="62"/>
    </row>
    <row r="642" ht="15.75" customHeight="1">
      <c r="E642" s="8"/>
      <c r="F642" s="62"/>
    </row>
    <row r="643" ht="15.75" customHeight="1">
      <c r="E643" s="8"/>
      <c r="F643" s="62"/>
    </row>
    <row r="644" ht="15.75" customHeight="1">
      <c r="E644" s="8"/>
      <c r="F644" s="62"/>
    </row>
    <row r="645" ht="15.75" customHeight="1">
      <c r="E645" s="8"/>
      <c r="F645" s="62"/>
    </row>
    <row r="646" ht="15.75" customHeight="1">
      <c r="E646" s="8"/>
      <c r="F646" s="62"/>
    </row>
    <row r="647" ht="15.75" customHeight="1">
      <c r="E647" s="8"/>
      <c r="F647" s="62"/>
    </row>
    <row r="648" ht="15.75" customHeight="1">
      <c r="E648" s="8"/>
      <c r="F648" s="62"/>
    </row>
    <row r="649" ht="15.75" customHeight="1">
      <c r="E649" s="8"/>
      <c r="F649" s="62"/>
    </row>
    <row r="650" ht="15.75" customHeight="1">
      <c r="E650" s="8"/>
      <c r="F650" s="62"/>
    </row>
    <row r="651" ht="15.75" customHeight="1">
      <c r="E651" s="8"/>
      <c r="F651" s="62"/>
    </row>
    <row r="652" ht="15.75" customHeight="1">
      <c r="E652" s="8"/>
      <c r="F652" s="62"/>
    </row>
    <row r="653" ht="15.75" customHeight="1">
      <c r="E653" s="8"/>
      <c r="F653" s="62"/>
    </row>
    <row r="654" ht="15.75" customHeight="1">
      <c r="E654" s="8"/>
      <c r="F654" s="62"/>
    </row>
    <row r="655" ht="15.75" customHeight="1">
      <c r="E655" s="8"/>
      <c r="F655" s="62"/>
    </row>
    <row r="656" ht="15.75" customHeight="1">
      <c r="E656" s="8"/>
      <c r="F656" s="62"/>
    </row>
    <row r="657" ht="15.75" customHeight="1">
      <c r="E657" s="8"/>
      <c r="F657" s="62"/>
    </row>
    <row r="658" ht="15.75" customHeight="1">
      <c r="E658" s="8"/>
      <c r="F658" s="62"/>
    </row>
    <row r="659" ht="15.75" customHeight="1">
      <c r="E659" s="8"/>
      <c r="F659" s="62"/>
    </row>
    <row r="660" ht="15.75" customHeight="1">
      <c r="E660" s="8"/>
      <c r="F660" s="62"/>
    </row>
    <row r="661" ht="15.75" customHeight="1">
      <c r="E661" s="8"/>
      <c r="F661" s="62"/>
    </row>
    <row r="662" ht="15.75" customHeight="1">
      <c r="E662" s="8"/>
      <c r="F662" s="62"/>
    </row>
    <row r="663" ht="15.75" customHeight="1">
      <c r="E663" s="8"/>
      <c r="F663" s="62"/>
    </row>
    <row r="664" ht="15.75" customHeight="1">
      <c r="E664" s="8"/>
      <c r="F664" s="62"/>
    </row>
    <row r="665" ht="15.75" customHeight="1">
      <c r="E665" s="8"/>
      <c r="F665" s="62"/>
    </row>
    <row r="666" ht="15.75" customHeight="1">
      <c r="E666" s="8"/>
      <c r="F666" s="62"/>
    </row>
    <row r="667" ht="15.75" customHeight="1">
      <c r="E667" s="8"/>
      <c r="F667" s="62"/>
    </row>
    <row r="668" ht="15.75" customHeight="1">
      <c r="E668" s="8"/>
      <c r="F668" s="62"/>
    </row>
    <row r="669" ht="15.75" customHeight="1">
      <c r="E669" s="8"/>
      <c r="F669" s="62"/>
    </row>
    <row r="670" ht="15.75" customHeight="1">
      <c r="E670" s="8"/>
      <c r="F670" s="62"/>
    </row>
    <row r="671" ht="15.75" customHeight="1">
      <c r="E671" s="8"/>
      <c r="F671" s="62"/>
    </row>
    <row r="672" ht="15.75" customHeight="1">
      <c r="E672" s="8"/>
      <c r="F672" s="62"/>
    </row>
    <row r="673" ht="15.75" customHeight="1">
      <c r="E673" s="8"/>
      <c r="F673" s="62"/>
    </row>
    <row r="674" ht="15.75" customHeight="1">
      <c r="E674" s="8"/>
      <c r="F674" s="62"/>
    </row>
    <row r="675" ht="15.75" customHeight="1">
      <c r="E675" s="8"/>
      <c r="F675" s="62"/>
    </row>
    <row r="676" ht="15.75" customHeight="1">
      <c r="E676" s="8"/>
      <c r="F676" s="62"/>
    </row>
    <row r="677" ht="15.75" customHeight="1">
      <c r="E677" s="8"/>
      <c r="F677" s="62"/>
    </row>
    <row r="678" ht="15.75" customHeight="1">
      <c r="E678" s="8"/>
      <c r="F678" s="62"/>
    </row>
    <row r="679" ht="15.75" customHeight="1">
      <c r="E679" s="8"/>
      <c r="F679" s="62"/>
    </row>
    <row r="680" ht="15.75" customHeight="1">
      <c r="E680" s="8"/>
      <c r="F680" s="62"/>
    </row>
    <row r="681" ht="15.75" customHeight="1">
      <c r="E681" s="8"/>
      <c r="F681" s="62"/>
    </row>
    <row r="682" ht="15.75" customHeight="1">
      <c r="E682" s="8"/>
      <c r="F682" s="62"/>
    </row>
    <row r="683" ht="15.75" customHeight="1">
      <c r="E683" s="8"/>
      <c r="F683" s="62"/>
    </row>
    <row r="684" ht="15.75" customHeight="1">
      <c r="E684" s="8"/>
      <c r="F684" s="62"/>
    </row>
    <row r="685" ht="15.75" customHeight="1">
      <c r="E685" s="8"/>
      <c r="F685" s="62"/>
    </row>
    <row r="686" ht="15.75" customHeight="1">
      <c r="E686" s="8"/>
      <c r="F686" s="62"/>
    </row>
    <row r="687" ht="15.75" customHeight="1">
      <c r="E687" s="8"/>
      <c r="F687" s="62"/>
    </row>
    <row r="688" ht="15.75" customHeight="1">
      <c r="E688" s="8"/>
      <c r="F688" s="62"/>
    </row>
    <row r="689" ht="15.75" customHeight="1">
      <c r="E689" s="8"/>
      <c r="F689" s="62"/>
    </row>
    <row r="690" ht="15.75" customHeight="1">
      <c r="E690" s="8"/>
      <c r="F690" s="62"/>
    </row>
    <row r="691" ht="15.75" customHeight="1">
      <c r="E691" s="8"/>
      <c r="F691" s="62"/>
    </row>
    <row r="692" ht="15.75" customHeight="1">
      <c r="E692" s="8"/>
      <c r="F692" s="62"/>
    </row>
    <row r="693" ht="15.75" customHeight="1">
      <c r="E693" s="8"/>
      <c r="F693" s="62"/>
    </row>
    <row r="694" ht="15.75" customHeight="1">
      <c r="E694" s="8"/>
      <c r="F694" s="62"/>
    </row>
    <row r="695" ht="15.75" customHeight="1">
      <c r="E695" s="8"/>
      <c r="F695" s="62"/>
    </row>
    <row r="696" ht="15.75" customHeight="1">
      <c r="E696" s="8"/>
      <c r="F696" s="62"/>
    </row>
    <row r="697" ht="15.75" customHeight="1">
      <c r="E697" s="8"/>
      <c r="F697" s="62"/>
    </row>
    <row r="698" ht="15.75" customHeight="1">
      <c r="E698" s="8"/>
      <c r="F698" s="62"/>
    </row>
    <row r="699" ht="15.75" customHeight="1">
      <c r="E699" s="8"/>
      <c r="F699" s="62"/>
    </row>
    <row r="700" ht="15.75" customHeight="1">
      <c r="E700" s="8"/>
      <c r="F700" s="62"/>
    </row>
    <row r="701" ht="15.75" customHeight="1">
      <c r="E701" s="8"/>
      <c r="F701" s="62"/>
    </row>
    <row r="702" ht="15.75" customHeight="1">
      <c r="E702" s="8"/>
      <c r="F702" s="62"/>
    </row>
    <row r="703" ht="15.75" customHeight="1">
      <c r="E703" s="8"/>
      <c r="F703" s="62"/>
    </row>
    <row r="704" ht="15.75" customHeight="1">
      <c r="E704" s="8"/>
      <c r="F704" s="62"/>
    </row>
    <row r="705" ht="15.75" customHeight="1">
      <c r="E705" s="8"/>
      <c r="F705" s="62"/>
    </row>
    <row r="706" ht="15.75" customHeight="1">
      <c r="E706" s="8"/>
      <c r="F706" s="62"/>
    </row>
    <row r="707" ht="15.75" customHeight="1">
      <c r="E707" s="8"/>
      <c r="F707" s="62"/>
    </row>
    <row r="708" ht="15.75" customHeight="1">
      <c r="E708" s="8"/>
      <c r="F708" s="62"/>
    </row>
    <row r="709" ht="15.75" customHeight="1">
      <c r="E709" s="8"/>
      <c r="F709" s="62"/>
    </row>
    <row r="710" ht="15.75" customHeight="1">
      <c r="E710" s="8"/>
      <c r="F710" s="62"/>
    </row>
    <row r="711" ht="15.75" customHeight="1">
      <c r="E711" s="8"/>
      <c r="F711" s="62"/>
    </row>
    <row r="712" ht="15.75" customHeight="1">
      <c r="E712" s="8"/>
      <c r="F712" s="62"/>
    </row>
    <row r="713" ht="15.75" customHeight="1">
      <c r="E713" s="8"/>
      <c r="F713" s="62"/>
    </row>
    <row r="714" ht="15.75" customHeight="1">
      <c r="E714" s="8"/>
      <c r="F714" s="62"/>
    </row>
    <row r="715" ht="15.75" customHeight="1">
      <c r="E715" s="8"/>
      <c r="F715" s="62"/>
    </row>
    <row r="716" ht="15.75" customHeight="1">
      <c r="E716" s="8"/>
      <c r="F716" s="62"/>
    </row>
    <row r="717" ht="15.75" customHeight="1">
      <c r="E717" s="8"/>
      <c r="F717" s="62"/>
    </row>
    <row r="718" ht="15.75" customHeight="1">
      <c r="E718" s="8"/>
      <c r="F718" s="62"/>
    </row>
    <row r="719" ht="15.75" customHeight="1">
      <c r="E719" s="8"/>
      <c r="F719" s="62"/>
    </row>
    <row r="720" ht="15.75" customHeight="1">
      <c r="E720" s="8"/>
      <c r="F720" s="62"/>
    </row>
    <row r="721" ht="15.75" customHeight="1">
      <c r="E721" s="8"/>
      <c r="F721" s="62"/>
    </row>
    <row r="722" ht="15.75" customHeight="1">
      <c r="E722" s="8"/>
      <c r="F722" s="62"/>
    </row>
    <row r="723" ht="15.75" customHeight="1">
      <c r="E723" s="8"/>
      <c r="F723" s="62"/>
    </row>
    <row r="724" ht="15.75" customHeight="1">
      <c r="E724" s="8"/>
      <c r="F724" s="62"/>
    </row>
    <row r="725" ht="15.75" customHeight="1">
      <c r="E725" s="8"/>
      <c r="F725" s="62"/>
    </row>
    <row r="726" ht="15.75" customHeight="1">
      <c r="E726" s="8"/>
      <c r="F726" s="62"/>
    </row>
    <row r="727" ht="15.75" customHeight="1">
      <c r="E727" s="8"/>
      <c r="F727" s="62"/>
    </row>
    <row r="728" ht="15.75" customHeight="1">
      <c r="E728" s="8"/>
      <c r="F728" s="62"/>
    </row>
    <row r="729" ht="15.75" customHeight="1">
      <c r="E729" s="8"/>
      <c r="F729" s="62"/>
    </row>
    <row r="730" ht="15.75" customHeight="1">
      <c r="E730" s="8"/>
      <c r="F730" s="62"/>
    </row>
    <row r="731" ht="15.75" customHeight="1">
      <c r="E731" s="8"/>
      <c r="F731" s="62"/>
    </row>
    <row r="732" ht="15.75" customHeight="1">
      <c r="E732" s="8"/>
      <c r="F732" s="62"/>
    </row>
    <row r="733" ht="15.75" customHeight="1">
      <c r="E733" s="8"/>
      <c r="F733" s="62"/>
    </row>
    <row r="734" ht="15.75" customHeight="1">
      <c r="E734" s="8"/>
      <c r="F734" s="62"/>
    </row>
    <row r="735" ht="15.75" customHeight="1">
      <c r="E735" s="8"/>
      <c r="F735" s="62"/>
    </row>
    <row r="736" ht="15.75" customHeight="1">
      <c r="E736" s="8"/>
      <c r="F736" s="62"/>
    </row>
    <row r="737" ht="15.75" customHeight="1">
      <c r="E737" s="8"/>
      <c r="F737" s="62"/>
    </row>
    <row r="738" ht="15.75" customHeight="1">
      <c r="E738" s="8"/>
      <c r="F738" s="62"/>
    </row>
    <row r="739" ht="15.75" customHeight="1">
      <c r="E739" s="8"/>
      <c r="F739" s="62"/>
    </row>
    <row r="740" ht="15.75" customHeight="1">
      <c r="E740" s="8"/>
      <c r="F740" s="62"/>
    </row>
    <row r="741" ht="15.75" customHeight="1">
      <c r="E741" s="8"/>
      <c r="F741" s="62"/>
    </row>
    <row r="742" ht="15.75" customHeight="1">
      <c r="E742" s="8"/>
      <c r="F742" s="62"/>
    </row>
    <row r="743" ht="15.75" customHeight="1">
      <c r="E743" s="8"/>
      <c r="F743" s="62"/>
    </row>
    <row r="744" ht="15.75" customHeight="1">
      <c r="E744" s="8"/>
      <c r="F744" s="62"/>
    </row>
    <row r="745" ht="15.75" customHeight="1">
      <c r="E745" s="8"/>
      <c r="F745" s="62"/>
    </row>
    <row r="746" ht="15.75" customHeight="1">
      <c r="E746" s="8"/>
      <c r="F746" s="62"/>
    </row>
    <row r="747" ht="15.75" customHeight="1">
      <c r="E747" s="8"/>
      <c r="F747" s="62"/>
    </row>
    <row r="748" ht="15.75" customHeight="1">
      <c r="E748" s="8"/>
      <c r="F748" s="62"/>
    </row>
    <row r="749" ht="15.75" customHeight="1">
      <c r="E749" s="8"/>
      <c r="F749" s="62"/>
    </row>
    <row r="750" ht="15.75" customHeight="1">
      <c r="E750" s="8"/>
      <c r="F750" s="62"/>
    </row>
    <row r="751" ht="15.75" customHeight="1">
      <c r="E751" s="8"/>
      <c r="F751" s="62"/>
    </row>
    <row r="752" ht="15.75" customHeight="1">
      <c r="E752" s="8"/>
      <c r="F752" s="62"/>
    </row>
    <row r="753" ht="15.75" customHeight="1">
      <c r="E753" s="8"/>
      <c r="F753" s="62"/>
    </row>
    <row r="754" ht="15.75" customHeight="1">
      <c r="E754" s="8"/>
      <c r="F754" s="62"/>
    </row>
    <row r="755" ht="15.75" customHeight="1">
      <c r="E755" s="8"/>
      <c r="F755" s="62"/>
    </row>
    <row r="756" ht="15.75" customHeight="1">
      <c r="E756" s="8"/>
      <c r="F756" s="62"/>
    </row>
    <row r="757" ht="15.75" customHeight="1">
      <c r="E757" s="8"/>
      <c r="F757" s="62"/>
    </row>
    <row r="758" ht="15.75" customHeight="1">
      <c r="E758" s="8"/>
      <c r="F758" s="62"/>
    </row>
    <row r="759" ht="15.75" customHeight="1">
      <c r="E759" s="8"/>
      <c r="F759" s="62"/>
    </row>
    <row r="760" ht="15.75" customHeight="1">
      <c r="E760" s="8"/>
      <c r="F760" s="62"/>
    </row>
    <row r="761" ht="15.75" customHeight="1">
      <c r="E761" s="8"/>
      <c r="F761" s="62"/>
    </row>
    <row r="762" ht="15.75" customHeight="1">
      <c r="E762" s="8"/>
      <c r="F762" s="62"/>
    </row>
    <row r="763" ht="15.75" customHeight="1">
      <c r="E763" s="8"/>
      <c r="F763" s="62"/>
    </row>
    <row r="764" ht="15.75" customHeight="1">
      <c r="E764" s="8"/>
      <c r="F764" s="62"/>
    </row>
    <row r="765" ht="15.75" customHeight="1">
      <c r="E765" s="8"/>
      <c r="F765" s="62"/>
    </row>
    <row r="766" ht="15.75" customHeight="1">
      <c r="E766" s="8"/>
      <c r="F766" s="62"/>
    </row>
    <row r="767" ht="15.75" customHeight="1">
      <c r="E767" s="8"/>
      <c r="F767" s="62"/>
    </row>
    <row r="768" ht="15.75" customHeight="1">
      <c r="E768" s="8"/>
      <c r="F768" s="62"/>
    </row>
    <row r="769" ht="15.75" customHeight="1">
      <c r="E769" s="8"/>
      <c r="F769" s="62"/>
    </row>
    <row r="770" ht="15.75" customHeight="1">
      <c r="E770" s="8"/>
      <c r="F770" s="62"/>
    </row>
    <row r="771" ht="15.75" customHeight="1">
      <c r="E771" s="8"/>
      <c r="F771" s="62"/>
    </row>
    <row r="772" ht="15.75" customHeight="1">
      <c r="E772" s="8"/>
      <c r="F772" s="62"/>
    </row>
    <row r="773" ht="15.75" customHeight="1">
      <c r="E773" s="8"/>
      <c r="F773" s="62"/>
    </row>
    <row r="774" ht="15.75" customHeight="1">
      <c r="E774" s="8"/>
      <c r="F774" s="62"/>
    </row>
    <row r="775" ht="15.75" customHeight="1">
      <c r="E775" s="8"/>
      <c r="F775" s="62"/>
    </row>
    <row r="776" ht="15.75" customHeight="1">
      <c r="E776" s="8"/>
      <c r="F776" s="62"/>
    </row>
    <row r="777" ht="15.75" customHeight="1">
      <c r="E777" s="8"/>
      <c r="F777" s="62"/>
    </row>
    <row r="778" ht="15.75" customHeight="1">
      <c r="E778" s="8"/>
      <c r="F778" s="62"/>
    </row>
    <row r="779" ht="15.75" customHeight="1">
      <c r="E779" s="8"/>
      <c r="F779" s="62"/>
    </row>
    <row r="780" ht="15.75" customHeight="1">
      <c r="E780" s="8"/>
      <c r="F780" s="62"/>
    </row>
    <row r="781" ht="15.75" customHeight="1">
      <c r="E781" s="8"/>
      <c r="F781" s="62"/>
    </row>
    <row r="782" ht="15.75" customHeight="1">
      <c r="E782" s="8"/>
      <c r="F782" s="62"/>
    </row>
    <row r="783" ht="15.75" customHeight="1">
      <c r="E783" s="8"/>
      <c r="F783" s="62"/>
    </row>
    <row r="784" ht="15.75" customHeight="1">
      <c r="E784" s="8"/>
      <c r="F784" s="62"/>
    </row>
    <row r="785" ht="15.75" customHeight="1">
      <c r="E785" s="8"/>
      <c r="F785" s="62"/>
    </row>
    <row r="786" ht="15.75" customHeight="1">
      <c r="E786" s="8"/>
      <c r="F786" s="62"/>
    </row>
    <row r="787" ht="15.75" customHeight="1">
      <c r="E787" s="8"/>
      <c r="F787" s="62"/>
    </row>
    <row r="788" ht="15.75" customHeight="1">
      <c r="E788" s="8"/>
      <c r="F788" s="62"/>
    </row>
    <row r="789" ht="15.75" customHeight="1">
      <c r="E789" s="8"/>
      <c r="F789" s="62"/>
    </row>
    <row r="790" ht="15.75" customHeight="1">
      <c r="E790" s="8"/>
      <c r="F790" s="62"/>
    </row>
    <row r="791" ht="15.75" customHeight="1">
      <c r="E791" s="8"/>
      <c r="F791" s="62"/>
    </row>
    <row r="792" ht="15.75" customHeight="1">
      <c r="E792" s="8"/>
      <c r="F792" s="62"/>
    </row>
    <row r="793" ht="15.75" customHeight="1">
      <c r="E793" s="8"/>
      <c r="F793" s="62"/>
    </row>
    <row r="794" ht="15.75" customHeight="1">
      <c r="E794" s="8"/>
      <c r="F794" s="62"/>
    </row>
    <row r="795" ht="15.75" customHeight="1">
      <c r="E795" s="8"/>
      <c r="F795" s="62"/>
    </row>
    <row r="796" ht="15.75" customHeight="1">
      <c r="E796" s="8"/>
      <c r="F796" s="62"/>
    </row>
    <row r="797" ht="15.75" customHeight="1">
      <c r="E797" s="8"/>
      <c r="F797" s="62"/>
    </row>
    <row r="798" ht="15.75" customHeight="1">
      <c r="E798" s="8"/>
      <c r="F798" s="62"/>
    </row>
    <row r="799" ht="15.75" customHeight="1">
      <c r="E799" s="8"/>
      <c r="F799" s="62"/>
    </row>
    <row r="800" ht="15.75" customHeight="1">
      <c r="E800" s="8"/>
      <c r="F800" s="62"/>
    </row>
    <row r="801" ht="15.75" customHeight="1">
      <c r="E801" s="8"/>
      <c r="F801" s="62"/>
    </row>
    <row r="802" ht="15.75" customHeight="1">
      <c r="E802" s="8"/>
      <c r="F802" s="62"/>
    </row>
    <row r="803" ht="15.75" customHeight="1">
      <c r="E803" s="8"/>
      <c r="F803" s="62"/>
    </row>
    <row r="804" ht="15.75" customHeight="1">
      <c r="E804" s="8"/>
      <c r="F804" s="62"/>
    </row>
    <row r="805" ht="15.75" customHeight="1">
      <c r="E805" s="8"/>
      <c r="F805" s="62"/>
    </row>
    <row r="806" ht="15.75" customHeight="1">
      <c r="E806" s="8"/>
      <c r="F806" s="62"/>
    </row>
    <row r="807" ht="15.75" customHeight="1">
      <c r="E807" s="8"/>
      <c r="F807" s="62"/>
    </row>
    <row r="808" ht="15.75" customHeight="1">
      <c r="E808" s="8"/>
      <c r="F808" s="62"/>
    </row>
    <row r="809" ht="15.75" customHeight="1">
      <c r="E809" s="8"/>
      <c r="F809" s="62"/>
    </row>
    <row r="810" ht="15.75" customHeight="1">
      <c r="E810" s="8"/>
      <c r="F810" s="62"/>
    </row>
    <row r="811" ht="15.75" customHeight="1">
      <c r="E811" s="8"/>
      <c r="F811" s="62"/>
    </row>
    <row r="812" ht="15.75" customHeight="1">
      <c r="E812" s="8"/>
      <c r="F812" s="62"/>
    </row>
    <row r="813" ht="15.75" customHeight="1">
      <c r="E813" s="8"/>
      <c r="F813" s="62"/>
    </row>
    <row r="814" ht="15.75" customHeight="1">
      <c r="E814" s="8"/>
      <c r="F814" s="62"/>
    </row>
    <row r="815" ht="15.75" customHeight="1">
      <c r="E815" s="8"/>
      <c r="F815" s="62"/>
    </row>
    <row r="816" ht="15.75" customHeight="1">
      <c r="E816" s="8"/>
      <c r="F816" s="62"/>
    </row>
    <row r="817" ht="15.75" customHeight="1">
      <c r="E817" s="8"/>
      <c r="F817" s="62"/>
    </row>
    <row r="818" ht="15.75" customHeight="1">
      <c r="E818" s="8"/>
      <c r="F818" s="62"/>
    </row>
    <row r="819" ht="15.75" customHeight="1">
      <c r="E819" s="8"/>
      <c r="F819" s="62"/>
    </row>
    <row r="820" ht="15.75" customHeight="1">
      <c r="E820" s="8"/>
      <c r="F820" s="62"/>
    </row>
    <row r="821" ht="15.75" customHeight="1">
      <c r="E821" s="8"/>
      <c r="F821" s="62"/>
    </row>
    <row r="822" ht="15.75" customHeight="1">
      <c r="E822" s="8"/>
      <c r="F822" s="62"/>
    </row>
    <row r="823" ht="15.75" customHeight="1">
      <c r="E823" s="8"/>
      <c r="F823" s="62"/>
    </row>
    <row r="824" ht="15.75" customHeight="1">
      <c r="E824" s="8"/>
      <c r="F824" s="62"/>
    </row>
    <row r="825" ht="15.75" customHeight="1">
      <c r="E825" s="8"/>
      <c r="F825" s="62"/>
    </row>
    <row r="826" ht="15.75" customHeight="1">
      <c r="E826" s="8"/>
      <c r="F826" s="62"/>
    </row>
    <row r="827" ht="15.75" customHeight="1">
      <c r="E827" s="8"/>
      <c r="F827" s="62"/>
    </row>
    <row r="828" ht="15.75" customHeight="1">
      <c r="E828" s="8"/>
      <c r="F828" s="62"/>
    </row>
    <row r="829" ht="15.75" customHeight="1">
      <c r="E829" s="8"/>
      <c r="F829" s="62"/>
    </row>
    <row r="830" ht="15.75" customHeight="1">
      <c r="E830" s="8"/>
      <c r="F830" s="62"/>
    </row>
    <row r="831" ht="15.75" customHeight="1">
      <c r="E831" s="8"/>
      <c r="F831" s="62"/>
    </row>
    <row r="832" ht="15.75" customHeight="1">
      <c r="E832" s="8"/>
      <c r="F832" s="62"/>
    </row>
    <row r="833" ht="15.75" customHeight="1">
      <c r="E833" s="8"/>
      <c r="F833" s="62"/>
    </row>
    <row r="834" ht="15.75" customHeight="1">
      <c r="E834" s="8"/>
      <c r="F834" s="62"/>
    </row>
    <row r="835" ht="15.75" customHeight="1">
      <c r="E835" s="8"/>
      <c r="F835" s="62"/>
    </row>
    <row r="836" ht="15.75" customHeight="1">
      <c r="E836" s="8"/>
      <c r="F836" s="62"/>
    </row>
    <row r="837" ht="15.75" customHeight="1">
      <c r="E837" s="8"/>
      <c r="F837" s="62"/>
    </row>
    <row r="838" ht="15.75" customHeight="1">
      <c r="E838" s="8"/>
      <c r="F838" s="62"/>
    </row>
    <row r="839" ht="15.75" customHeight="1">
      <c r="E839" s="8"/>
      <c r="F839" s="62"/>
    </row>
    <row r="840" ht="15.75" customHeight="1">
      <c r="E840" s="8"/>
      <c r="F840" s="62"/>
    </row>
    <row r="841" ht="15.75" customHeight="1">
      <c r="E841" s="8"/>
      <c r="F841" s="62"/>
    </row>
    <row r="842" ht="15.75" customHeight="1">
      <c r="E842" s="8"/>
      <c r="F842" s="62"/>
    </row>
    <row r="843" ht="15.75" customHeight="1">
      <c r="E843" s="8"/>
      <c r="F843" s="62"/>
    </row>
    <row r="844" ht="15.75" customHeight="1">
      <c r="E844" s="8"/>
      <c r="F844" s="62"/>
    </row>
    <row r="845" ht="15.75" customHeight="1">
      <c r="E845" s="8"/>
      <c r="F845" s="62"/>
    </row>
    <row r="846" ht="15.75" customHeight="1">
      <c r="E846" s="8"/>
      <c r="F846" s="62"/>
    </row>
    <row r="847" ht="15.75" customHeight="1">
      <c r="E847" s="8"/>
      <c r="F847" s="62"/>
    </row>
    <row r="848" ht="15.75" customHeight="1">
      <c r="E848" s="8"/>
      <c r="F848" s="62"/>
    </row>
    <row r="849" ht="15.75" customHeight="1">
      <c r="E849" s="8"/>
      <c r="F849" s="62"/>
    </row>
    <row r="850" ht="15.75" customHeight="1">
      <c r="E850" s="8"/>
      <c r="F850" s="62"/>
    </row>
    <row r="851" ht="15.75" customHeight="1">
      <c r="E851" s="8"/>
      <c r="F851" s="62"/>
    </row>
    <row r="852" ht="15.75" customHeight="1">
      <c r="E852" s="8"/>
      <c r="F852" s="62"/>
    </row>
    <row r="853" ht="15.75" customHeight="1">
      <c r="E853" s="8"/>
      <c r="F853" s="62"/>
    </row>
    <row r="854" ht="15.75" customHeight="1">
      <c r="E854" s="8"/>
      <c r="F854" s="62"/>
    </row>
    <row r="855" ht="15.75" customHeight="1">
      <c r="E855" s="8"/>
      <c r="F855" s="62"/>
    </row>
    <row r="856" ht="15.75" customHeight="1">
      <c r="E856" s="8"/>
      <c r="F856" s="62"/>
    </row>
    <row r="857" ht="15.75" customHeight="1">
      <c r="E857" s="8"/>
      <c r="F857" s="62"/>
    </row>
    <row r="858" ht="15.75" customHeight="1">
      <c r="E858" s="8"/>
      <c r="F858" s="62"/>
    </row>
    <row r="859" ht="15.75" customHeight="1">
      <c r="E859" s="8"/>
      <c r="F859" s="62"/>
    </row>
    <row r="860" ht="15.75" customHeight="1">
      <c r="E860" s="8"/>
      <c r="F860" s="62"/>
    </row>
    <row r="861" ht="15.75" customHeight="1">
      <c r="E861" s="8"/>
      <c r="F861" s="62"/>
    </row>
    <row r="862" ht="15.75" customHeight="1">
      <c r="E862" s="8"/>
      <c r="F862" s="62"/>
    </row>
    <row r="863" ht="15.75" customHeight="1">
      <c r="E863" s="8"/>
      <c r="F863" s="62"/>
    </row>
    <row r="864" ht="15.75" customHeight="1">
      <c r="E864" s="8"/>
      <c r="F864" s="62"/>
    </row>
    <row r="865" ht="15.75" customHeight="1">
      <c r="E865" s="8"/>
      <c r="F865" s="62"/>
    </row>
    <row r="866" ht="15.75" customHeight="1">
      <c r="E866" s="8"/>
      <c r="F866" s="62"/>
    </row>
    <row r="867" ht="15.75" customHeight="1">
      <c r="E867" s="8"/>
      <c r="F867" s="62"/>
    </row>
    <row r="868" ht="15.75" customHeight="1">
      <c r="E868" s="8"/>
      <c r="F868" s="62"/>
    </row>
    <row r="869" ht="15.75" customHeight="1">
      <c r="E869" s="8"/>
      <c r="F869" s="62"/>
    </row>
    <row r="870" ht="15.75" customHeight="1">
      <c r="E870" s="8"/>
      <c r="F870" s="62"/>
    </row>
    <row r="871" ht="15.75" customHeight="1">
      <c r="E871" s="8"/>
      <c r="F871" s="62"/>
    </row>
    <row r="872" ht="15.75" customHeight="1">
      <c r="E872" s="8"/>
      <c r="F872" s="62"/>
    </row>
    <row r="873" ht="15.75" customHeight="1">
      <c r="E873" s="8"/>
      <c r="F873" s="62"/>
    </row>
    <row r="874" ht="15.75" customHeight="1">
      <c r="E874" s="8"/>
      <c r="F874" s="62"/>
    </row>
    <row r="875" ht="15.75" customHeight="1">
      <c r="E875" s="8"/>
      <c r="F875" s="62"/>
    </row>
    <row r="876" ht="15.75" customHeight="1">
      <c r="E876" s="8"/>
      <c r="F876" s="62"/>
    </row>
    <row r="877" ht="15.75" customHeight="1">
      <c r="E877" s="8"/>
      <c r="F877" s="62"/>
    </row>
    <row r="878" ht="15.75" customHeight="1">
      <c r="E878" s="8"/>
      <c r="F878" s="62"/>
    </row>
    <row r="879" ht="15.75" customHeight="1">
      <c r="E879" s="8"/>
      <c r="F879" s="62"/>
    </row>
    <row r="880" ht="15.75" customHeight="1">
      <c r="E880" s="8"/>
      <c r="F880" s="62"/>
    </row>
    <row r="881" ht="15.75" customHeight="1">
      <c r="E881" s="8"/>
      <c r="F881" s="62"/>
    </row>
    <row r="882" ht="15.75" customHeight="1">
      <c r="E882" s="8"/>
      <c r="F882" s="62"/>
    </row>
    <row r="883" ht="15.75" customHeight="1">
      <c r="E883" s="8"/>
      <c r="F883" s="62"/>
    </row>
    <row r="884" ht="15.75" customHeight="1">
      <c r="E884" s="8"/>
      <c r="F884" s="62"/>
    </row>
    <row r="885" ht="15.75" customHeight="1">
      <c r="E885" s="8"/>
      <c r="F885" s="62"/>
    </row>
    <row r="886" ht="15.75" customHeight="1">
      <c r="E886" s="8"/>
      <c r="F886" s="62"/>
    </row>
    <row r="887" ht="15.75" customHeight="1">
      <c r="E887" s="8"/>
      <c r="F887" s="62"/>
    </row>
    <row r="888" ht="15.75" customHeight="1">
      <c r="E888" s="8"/>
      <c r="F888" s="62"/>
    </row>
    <row r="889" ht="15.75" customHeight="1">
      <c r="E889" s="8"/>
      <c r="F889" s="62"/>
    </row>
    <row r="890" ht="15.75" customHeight="1">
      <c r="E890" s="8"/>
      <c r="F890" s="62"/>
    </row>
    <row r="891" ht="15.75" customHeight="1">
      <c r="E891" s="8"/>
      <c r="F891" s="62"/>
    </row>
    <row r="892" ht="15.75" customHeight="1">
      <c r="E892" s="8"/>
      <c r="F892" s="62"/>
    </row>
    <row r="893" ht="15.75" customHeight="1">
      <c r="E893" s="8"/>
      <c r="F893" s="62"/>
    </row>
    <row r="894" ht="15.75" customHeight="1">
      <c r="E894" s="8"/>
      <c r="F894" s="62"/>
    </row>
    <row r="895" ht="15.75" customHeight="1">
      <c r="E895" s="8"/>
      <c r="F895" s="62"/>
    </row>
    <row r="896" ht="15.75" customHeight="1">
      <c r="E896" s="8"/>
      <c r="F896" s="62"/>
    </row>
    <row r="897" ht="15.75" customHeight="1">
      <c r="E897" s="8"/>
      <c r="F897" s="62"/>
    </row>
    <row r="898" ht="15.75" customHeight="1">
      <c r="E898" s="8"/>
      <c r="F898" s="62"/>
    </row>
    <row r="899" ht="15.75" customHeight="1">
      <c r="E899" s="8"/>
      <c r="F899" s="62"/>
    </row>
    <row r="900" ht="15.75" customHeight="1">
      <c r="E900" s="8"/>
      <c r="F900" s="62"/>
    </row>
    <row r="901" ht="15.75" customHeight="1">
      <c r="E901" s="8"/>
      <c r="F901" s="62"/>
    </row>
    <row r="902" ht="15.75" customHeight="1">
      <c r="E902" s="8"/>
      <c r="F902" s="62"/>
    </row>
    <row r="903" ht="15.75" customHeight="1">
      <c r="E903" s="8"/>
      <c r="F903" s="62"/>
    </row>
    <row r="904" ht="15.75" customHeight="1">
      <c r="E904" s="8"/>
      <c r="F904" s="62"/>
    </row>
    <row r="905" ht="15.75" customHeight="1">
      <c r="E905" s="8"/>
      <c r="F905" s="62"/>
    </row>
    <row r="906" ht="15.75" customHeight="1">
      <c r="E906" s="8"/>
      <c r="F906" s="62"/>
    </row>
    <row r="907" ht="15.75" customHeight="1">
      <c r="E907" s="8"/>
      <c r="F907" s="62"/>
    </row>
    <row r="908" ht="15.75" customHeight="1">
      <c r="E908" s="8"/>
      <c r="F908" s="62"/>
    </row>
    <row r="909" ht="15.75" customHeight="1">
      <c r="E909" s="8"/>
      <c r="F909" s="62"/>
    </row>
    <row r="910" ht="15.75" customHeight="1">
      <c r="E910" s="8"/>
      <c r="F910" s="62"/>
    </row>
    <row r="911" ht="15.75" customHeight="1">
      <c r="E911" s="8"/>
      <c r="F911" s="62"/>
    </row>
    <row r="912" ht="15.75" customHeight="1">
      <c r="E912" s="8"/>
      <c r="F912" s="62"/>
    </row>
    <row r="913" ht="15.75" customHeight="1">
      <c r="E913" s="8"/>
      <c r="F913" s="62"/>
    </row>
    <row r="914" ht="15.75" customHeight="1">
      <c r="E914" s="8"/>
      <c r="F914" s="62"/>
    </row>
    <row r="915" ht="15.75" customHeight="1">
      <c r="E915" s="8"/>
      <c r="F915" s="62"/>
    </row>
    <row r="916" ht="15.75" customHeight="1">
      <c r="E916" s="8"/>
      <c r="F916" s="62"/>
    </row>
    <row r="917" ht="15.75" customHeight="1">
      <c r="E917" s="8"/>
      <c r="F917" s="62"/>
    </row>
    <row r="918" ht="15.75" customHeight="1">
      <c r="E918" s="8"/>
      <c r="F918" s="62"/>
    </row>
    <row r="919" ht="15.75" customHeight="1">
      <c r="E919" s="8"/>
      <c r="F919" s="62"/>
    </row>
    <row r="920" ht="15.75" customHeight="1">
      <c r="E920" s="8"/>
      <c r="F920" s="62"/>
    </row>
    <row r="921" ht="15.75" customHeight="1">
      <c r="E921" s="8"/>
      <c r="F921" s="62"/>
    </row>
    <row r="922" ht="15.75" customHeight="1">
      <c r="E922" s="8"/>
      <c r="F922" s="62"/>
    </row>
    <row r="923" ht="15.75" customHeight="1">
      <c r="E923" s="8"/>
      <c r="F923" s="62"/>
    </row>
    <row r="924" ht="15.75" customHeight="1">
      <c r="E924" s="8"/>
      <c r="F924" s="62"/>
    </row>
    <row r="925" ht="15.75" customHeight="1">
      <c r="E925" s="8"/>
      <c r="F925" s="62"/>
    </row>
    <row r="926" ht="15.75" customHeight="1">
      <c r="E926" s="8"/>
      <c r="F926" s="62"/>
    </row>
    <row r="927" ht="15.75" customHeight="1">
      <c r="E927" s="8"/>
      <c r="F927" s="62"/>
    </row>
    <row r="928" ht="15.75" customHeight="1">
      <c r="E928" s="8"/>
      <c r="F928" s="62"/>
    </row>
    <row r="929" ht="15.75" customHeight="1">
      <c r="E929" s="8"/>
      <c r="F929" s="62"/>
    </row>
    <row r="930" ht="15.75" customHeight="1">
      <c r="E930" s="8"/>
      <c r="F930" s="62"/>
    </row>
    <row r="931" ht="15.75" customHeight="1">
      <c r="E931" s="8"/>
      <c r="F931" s="62"/>
    </row>
    <row r="932" ht="15.75" customHeight="1">
      <c r="E932" s="8"/>
      <c r="F932" s="62"/>
    </row>
    <row r="933" ht="15.75" customHeight="1">
      <c r="E933" s="8"/>
      <c r="F933" s="62"/>
    </row>
    <row r="934" ht="15.75" customHeight="1">
      <c r="E934" s="8"/>
      <c r="F934" s="62"/>
    </row>
    <row r="935" ht="15.75" customHeight="1">
      <c r="E935" s="8"/>
      <c r="F935" s="62"/>
    </row>
    <row r="936" ht="15.75" customHeight="1">
      <c r="E936" s="8"/>
      <c r="F936" s="62"/>
    </row>
    <row r="937" ht="15.75" customHeight="1">
      <c r="E937" s="8"/>
      <c r="F937" s="62"/>
    </row>
    <row r="938" ht="15.75" customHeight="1">
      <c r="E938" s="8"/>
      <c r="F938" s="62"/>
    </row>
    <row r="939" ht="15.75" customHeight="1">
      <c r="E939" s="8"/>
      <c r="F939" s="62"/>
    </row>
    <row r="940" ht="15.75" customHeight="1">
      <c r="E940" s="8"/>
      <c r="F940" s="62"/>
    </row>
    <row r="941" ht="15.75" customHeight="1">
      <c r="E941" s="8"/>
      <c r="F941" s="62"/>
    </row>
    <row r="942" ht="15.75" customHeight="1">
      <c r="E942" s="8"/>
      <c r="F942" s="62"/>
    </row>
    <row r="943" ht="15.75" customHeight="1">
      <c r="E943" s="8"/>
      <c r="F943" s="62"/>
    </row>
    <row r="944" ht="15.75" customHeight="1">
      <c r="E944" s="8"/>
      <c r="F944" s="62"/>
    </row>
    <row r="945" ht="15.75" customHeight="1">
      <c r="E945" s="8"/>
      <c r="F945" s="62"/>
    </row>
    <row r="946" ht="15.75" customHeight="1">
      <c r="E946" s="8"/>
      <c r="F946" s="62"/>
    </row>
    <row r="947" ht="15.75" customHeight="1">
      <c r="E947" s="8"/>
      <c r="F947" s="62"/>
    </row>
    <row r="948" ht="15.75" customHeight="1">
      <c r="E948" s="8"/>
      <c r="F948" s="62"/>
    </row>
    <row r="949" ht="15.75" customHeight="1">
      <c r="E949" s="8"/>
      <c r="F949" s="62"/>
    </row>
    <row r="950" ht="15.75" customHeight="1">
      <c r="E950" s="8"/>
      <c r="F950" s="62"/>
    </row>
    <row r="951" ht="15.75" customHeight="1">
      <c r="E951" s="8"/>
      <c r="F951" s="62"/>
    </row>
    <row r="952" ht="15.75" customHeight="1">
      <c r="E952" s="8"/>
      <c r="F952" s="62"/>
    </row>
    <row r="953" ht="15.75" customHeight="1">
      <c r="E953" s="8"/>
      <c r="F953" s="62"/>
    </row>
    <row r="954" ht="15.75" customHeight="1">
      <c r="E954" s="8"/>
      <c r="F954" s="62"/>
    </row>
    <row r="955" ht="15.75" customHeight="1">
      <c r="E955" s="8"/>
      <c r="F955" s="62"/>
    </row>
    <row r="956" ht="15.75" customHeight="1">
      <c r="E956" s="8"/>
      <c r="F956" s="62"/>
    </row>
    <row r="957" ht="15.75" customHeight="1">
      <c r="E957" s="8"/>
      <c r="F957" s="62"/>
    </row>
    <row r="958" ht="15.75" customHeight="1">
      <c r="E958" s="8"/>
      <c r="F958" s="62"/>
    </row>
    <row r="959" ht="15.75" customHeight="1">
      <c r="E959" s="8"/>
      <c r="F959" s="62"/>
    </row>
    <row r="960" ht="15.75" customHeight="1">
      <c r="E960" s="8"/>
      <c r="F960" s="62"/>
    </row>
    <row r="961" ht="15.75" customHeight="1">
      <c r="E961" s="8"/>
      <c r="F961" s="62"/>
    </row>
    <row r="962" ht="15.75" customHeight="1">
      <c r="E962" s="8"/>
      <c r="F962" s="62"/>
    </row>
    <row r="963" ht="15.75" customHeight="1">
      <c r="E963" s="8"/>
      <c r="F963" s="62"/>
    </row>
    <row r="964" ht="15.75" customHeight="1">
      <c r="E964" s="8"/>
      <c r="F964" s="62"/>
    </row>
    <row r="965" ht="15.75" customHeight="1">
      <c r="E965" s="8"/>
      <c r="F965" s="62"/>
    </row>
    <row r="966" ht="15.75" customHeight="1">
      <c r="E966" s="8"/>
      <c r="F966" s="62"/>
    </row>
    <row r="967" ht="15.75" customHeight="1">
      <c r="E967" s="8"/>
      <c r="F967" s="62"/>
    </row>
    <row r="968" ht="15.75" customHeight="1">
      <c r="E968" s="8"/>
      <c r="F968" s="62"/>
    </row>
    <row r="969" ht="15.75" customHeight="1">
      <c r="E969" s="8"/>
      <c r="F969" s="62"/>
    </row>
    <row r="970" ht="15.75" customHeight="1">
      <c r="E970" s="8"/>
      <c r="F970" s="62"/>
    </row>
    <row r="971" ht="15.75" customHeight="1">
      <c r="E971" s="8"/>
      <c r="F971" s="62"/>
    </row>
    <row r="972" ht="15.75" customHeight="1">
      <c r="E972" s="8"/>
      <c r="F972" s="62"/>
    </row>
    <row r="973" ht="15.75" customHeight="1">
      <c r="E973" s="8"/>
      <c r="F973" s="62"/>
    </row>
    <row r="974" ht="15.75" customHeight="1">
      <c r="E974" s="8"/>
      <c r="F974" s="62"/>
    </row>
    <row r="975" ht="15.75" customHeight="1">
      <c r="E975" s="8"/>
      <c r="F975" s="62"/>
    </row>
    <row r="976" ht="15.75" customHeight="1">
      <c r="E976" s="8"/>
      <c r="F976" s="62"/>
    </row>
    <row r="977" ht="15.75" customHeight="1">
      <c r="E977" s="8"/>
      <c r="F977" s="62"/>
    </row>
    <row r="978" ht="15.75" customHeight="1">
      <c r="E978" s="8"/>
      <c r="F978" s="62"/>
    </row>
    <row r="979" ht="15.75" customHeight="1">
      <c r="E979" s="8"/>
      <c r="F979" s="62"/>
    </row>
    <row r="980" ht="15.75" customHeight="1">
      <c r="E980" s="8"/>
      <c r="F980" s="62"/>
    </row>
    <row r="981" ht="15.75" customHeight="1">
      <c r="E981" s="8"/>
      <c r="F981" s="62"/>
    </row>
    <row r="982" ht="15.75" customHeight="1">
      <c r="E982" s="8"/>
      <c r="F982" s="62"/>
    </row>
    <row r="983" ht="15.75" customHeight="1">
      <c r="E983" s="8"/>
      <c r="F983" s="62"/>
    </row>
    <row r="984" ht="15.75" customHeight="1">
      <c r="E984" s="8"/>
      <c r="F984" s="62"/>
    </row>
    <row r="985" ht="15.75" customHeight="1">
      <c r="E985" s="8"/>
      <c r="F985" s="62"/>
    </row>
    <row r="986" ht="15.75" customHeight="1">
      <c r="E986" s="8"/>
      <c r="F986" s="62"/>
    </row>
    <row r="987" ht="15.75" customHeight="1">
      <c r="E987" s="8"/>
      <c r="F987" s="62"/>
    </row>
    <row r="988" ht="15.75" customHeight="1">
      <c r="E988" s="8"/>
      <c r="F988" s="62"/>
    </row>
    <row r="989" ht="15.75" customHeight="1">
      <c r="E989" s="8"/>
      <c r="F989" s="62"/>
    </row>
    <row r="990" ht="15.75" customHeight="1">
      <c r="E990" s="8"/>
      <c r="F990" s="62"/>
    </row>
    <row r="991" ht="15.75" customHeight="1">
      <c r="E991" s="8"/>
      <c r="F991" s="62"/>
    </row>
    <row r="992" ht="15.75" customHeight="1">
      <c r="E992" s="8"/>
      <c r="F992" s="62"/>
    </row>
    <row r="993" ht="15.75" customHeight="1">
      <c r="E993" s="8"/>
      <c r="F993" s="62"/>
    </row>
    <row r="994" ht="15.75" customHeight="1">
      <c r="E994" s="8"/>
      <c r="F994" s="62"/>
    </row>
    <row r="995" ht="15.75" customHeight="1">
      <c r="E995" s="8"/>
      <c r="F995" s="62"/>
    </row>
    <row r="996" ht="15.75" customHeight="1">
      <c r="E996" s="8"/>
      <c r="F996" s="62"/>
    </row>
    <row r="997" ht="15.75" customHeight="1">
      <c r="E997" s="8"/>
      <c r="F997" s="62"/>
    </row>
    <row r="998" ht="15.75" customHeight="1">
      <c r="E998" s="8"/>
      <c r="F998" s="62"/>
    </row>
    <row r="999" ht="15.75" customHeight="1">
      <c r="E999" s="8"/>
      <c r="F999" s="62"/>
    </row>
    <row r="1000" ht="15.75" customHeight="1">
      <c r="E1000" s="8"/>
      <c r="F1000" s="62"/>
    </row>
  </sheetData>
  <printOptions/>
  <pageMargins bottom="0.75" footer="0.0" header="0.0" left="0.7" right="0.6666666666666666" top="1.1805555555555556"/>
  <pageSetup paperSize="9" orientation="portrait"/>
  <headerFooter>
    <oddHeader>&amp;CGestión de Riesgos &amp;A Nombre del Proyecto Iteración N° X, fase X</oddHeader>
    <oddFooter>&amp;LNombre del Grupo de Desarrollo Autor&amp;R&amp;P de 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22.71"/>
    <col customWidth="1" min="3" max="3" width="100.14"/>
    <col customWidth="1" min="4" max="4" width="9.0"/>
    <col customWidth="1" min="5" max="5" width="13.57"/>
    <col customWidth="1" min="6" max="6" width="7.14"/>
    <col customWidth="1" min="7" max="26" width="10.71"/>
  </cols>
  <sheetData>
    <row r="1">
      <c r="A1" s="11" t="s">
        <v>45</v>
      </c>
      <c r="B1" s="11" t="s">
        <v>46</v>
      </c>
      <c r="C1" s="11" t="s">
        <v>47</v>
      </c>
      <c r="D1" s="11" t="s">
        <v>37</v>
      </c>
      <c r="E1" s="73" t="s">
        <v>48</v>
      </c>
      <c r="F1" s="74" t="s">
        <v>49</v>
      </c>
    </row>
    <row r="2" ht="15.0" hidden="1" customHeight="1">
      <c r="A2" s="15"/>
      <c r="B2" s="15" t="str">
        <f>'Identificación y Evaluación'!$A$1</f>
        <v>Compromiso del Cliente</v>
      </c>
      <c r="C2" s="15" t="str">
        <f>IF('Identificación y Evaluación'!H2="SI",'Identificación y Evaluación'!A2,"")</f>
        <v/>
      </c>
      <c r="D2" s="15">
        <f>'Identificación y Evaluación'!$G$43</f>
        <v>5</v>
      </c>
      <c r="E2" s="75"/>
      <c r="F2" s="76">
        <f t="shared" ref="F2:F480" si="1">D2*E2*100</f>
        <v>0</v>
      </c>
    </row>
    <row r="3" ht="15.0" hidden="1" customHeight="1">
      <c r="A3" s="15"/>
      <c r="B3" s="15" t="str">
        <f>'Identificación y Evaluación'!$A$1</f>
        <v>Compromiso del Cliente</v>
      </c>
      <c r="C3" s="15" t="str">
        <f>IF('Identificación y Evaluación'!H3="SI",'Identificación y Evaluación'!A3,"")</f>
        <v/>
      </c>
      <c r="D3" s="15">
        <f>'Identificación y Evaluación'!$G$43</f>
        <v>5</v>
      </c>
      <c r="E3" s="75"/>
      <c r="F3" s="76">
        <f t="shared" si="1"/>
        <v>0</v>
      </c>
    </row>
    <row r="4" hidden="1">
      <c r="A4" s="15" t="s">
        <v>50</v>
      </c>
      <c r="B4" s="15" t="str">
        <f>'Identificación y Evaluación'!$A$1</f>
        <v>Compromiso del Cliente</v>
      </c>
      <c r="C4" s="15" t="str">
        <f>IF('Identificación y Evaluación'!H4="SI",'Identificación y Evaluación'!A4,"")</f>
        <v/>
      </c>
      <c r="D4" s="15">
        <f>'Identificación y Evaluación'!$G$43</f>
        <v>5</v>
      </c>
      <c r="E4" s="75">
        <v>0.1</v>
      </c>
      <c r="F4" s="76">
        <f t="shared" si="1"/>
        <v>50</v>
      </c>
    </row>
    <row r="5" hidden="1">
      <c r="A5" s="15"/>
      <c r="B5" s="15" t="str">
        <f>'Identificación y Evaluación'!$A$1</f>
        <v>Compromiso del Cliente</v>
      </c>
      <c r="C5" s="15" t="str">
        <f>IF('Identificación y Evaluación'!H5="SI",'Identificación y Evaluación'!A5,"")</f>
        <v/>
      </c>
      <c r="D5" s="15">
        <f>'Identificación y Evaluación'!$G$43</f>
        <v>5</v>
      </c>
      <c r="E5" s="75"/>
      <c r="F5" s="76">
        <f t="shared" si="1"/>
        <v>0</v>
      </c>
    </row>
    <row r="6" ht="15.0" hidden="1" customHeight="1">
      <c r="A6" s="15"/>
      <c r="B6" s="15" t="str">
        <f>'Identificación y Evaluación'!$A$1</f>
        <v>Compromiso del Cliente</v>
      </c>
      <c r="C6" s="15" t="str">
        <f>IF('Identificación y Evaluación'!H6="SI",'Identificación y Evaluación'!A6,"")</f>
        <v/>
      </c>
      <c r="D6" s="15">
        <f>'Identificación y Evaluación'!$G$43</f>
        <v>5</v>
      </c>
      <c r="E6" s="75"/>
      <c r="F6" s="76">
        <f t="shared" si="1"/>
        <v>0</v>
      </c>
    </row>
    <row r="7" ht="15.0" hidden="1" customHeight="1">
      <c r="A7" s="15"/>
      <c r="B7" s="15" t="str">
        <f>'Identificación y Evaluación'!$A$1</f>
        <v>Compromiso del Cliente</v>
      </c>
      <c r="C7" s="15" t="str">
        <f>IF('Identificación y Evaluación'!H7="SI",'Identificación y Evaluación'!A7,"")</f>
        <v/>
      </c>
      <c r="D7" s="15">
        <f>'Identificación y Evaluación'!$G$43</f>
        <v>5</v>
      </c>
      <c r="E7" s="75"/>
      <c r="F7" s="76">
        <f t="shared" si="1"/>
        <v>0</v>
      </c>
    </row>
    <row r="8" ht="15.0" hidden="1" customHeight="1">
      <c r="A8" s="15"/>
      <c r="B8" s="15" t="str">
        <f>'Identificación y Evaluación'!$A$1</f>
        <v>Compromiso del Cliente</v>
      </c>
      <c r="C8" s="15" t="str">
        <f>IF('Identificación y Evaluación'!H8="SI",'Identificación y Evaluación'!A8,"")</f>
        <v/>
      </c>
      <c r="D8" s="15">
        <f>'Identificación y Evaluación'!$G$43</f>
        <v>5</v>
      </c>
      <c r="E8" s="75"/>
      <c r="F8" s="76">
        <f t="shared" si="1"/>
        <v>0</v>
      </c>
    </row>
    <row r="9" ht="15.0" hidden="1" customHeight="1">
      <c r="A9" s="15"/>
      <c r="B9" s="15" t="str">
        <f>'Identificación y Evaluación'!$A$1</f>
        <v>Compromiso del Cliente</v>
      </c>
      <c r="C9" s="15" t="str">
        <f>IF('Identificación y Evaluación'!H9="SI",'Identificación y Evaluación'!A9,"")</f>
        <v/>
      </c>
      <c r="D9" s="15">
        <f>'Identificación y Evaluación'!$G$43</f>
        <v>5</v>
      </c>
      <c r="E9" s="75"/>
      <c r="F9" s="76">
        <f t="shared" si="1"/>
        <v>0</v>
      </c>
    </row>
    <row r="10" ht="15.0" hidden="1" customHeight="1">
      <c r="A10" s="15"/>
      <c r="B10" s="15" t="str">
        <f>'Identificación y Evaluación'!$A$1</f>
        <v>Compromiso del Cliente</v>
      </c>
      <c r="C10" s="15" t="str">
        <f>IF('Identificación y Evaluación'!H10="SI",'Identificación y Evaluación'!A10,"")</f>
        <v/>
      </c>
      <c r="D10" s="15">
        <f>'Identificación y Evaluación'!$G$43</f>
        <v>5</v>
      </c>
      <c r="E10" s="75"/>
      <c r="F10" s="76">
        <f t="shared" si="1"/>
        <v>0</v>
      </c>
    </row>
    <row r="11" hidden="1">
      <c r="A11" s="15"/>
      <c r="B11" s="15" t="str">
        <f>'Identificación y Evaluación'!$A$1</f>
        <v>Compromiso del Cliente</v>
      </c>
      <c r="C11" s="15" t="str">
        <f>IF('Identificación y Evaluación'!H11="SI",'Identificación y Evaluación'!A11,"")</f>
        <v/>
      </c>
      <c r="D11" s="15">
        <f>'Identificación y Evaluación'!$G$43</f>
        <v>5</v>
      </c>
      <c r="E11" s="75">
        <v>0.15</v>
      </c>
      <c r="F11" s="76">
        <f t="shared" si="1"/>
        <v>75</v>
      </c>
    </row>
    <row r="12" ht="15.0" hidden="1" customHeight="1">
      <c r="A12" s="15"/>
      <c r="B12" s="15" t="str">
        <f>'Identificación y Evaluación'!$A$1</f>
        <v>Compromiso del Cliente</v>
      </c>
      <c r="C12" s="15" t="str">
        <f>IF('Identificación y Evaluación'!H12="SI",'Identificación y Evaluación'!A12,"")</f>
        <v/>
      </c>
      <c r="D12" s="15">
        <f>'Identificación y Evaluación'!$G$43</f>
        <v>5</v>
      </c>
      <c r="E12" s="75"/>
      <c r="F12" s="76">
        <f t="shared" si="1"/>
        <v>0</v>
      </c>
    </row>
    <row r="13" ht="15.0" hidden="1" customHeight="1">
      <c r="A13" s="15"/>
      <c r="B13" s="15" t="str">
        <f>'Identificación y Evaluación'!$A$1</f>
        <v>Compromiso del Cliente</v>
      </c>
      <c r="C13" s="15" t="str">
        <f>IF('Identificación y Evaluación'!H13="SI",'Identificación y Evaluación'!A13,"")</f>
        <v/>
      </c>
      <c r="D13" s="15">
        <f>'Identificación y Evaluación'!$G$43</f>
        <v>5</v>
      </c>
      <c r="E13" s="75"/>
      <c r="F13" s="76">
        <f t="shared" si="1"/>
        <v>0</v>
      </c>
    </row>
    <row r="14" ht="15.0" hidden="1" customHeight="1">
      <c r="A14" s="15"/>
      <c r="B14" s="15" t="str">
        <f>'Identificación y Evaluación'!$A$1</f>
        <v>Compromiso del Cliente</v>
      </c>
      <c r="C14" s="15" t="str">
        <f>IF('Identificación y Evaluación'!H14="SI",'Identificación y Evaluación'!A14,"")</f>
        <v/>
      </c>
      <c r="D14" s="15">
        <f>'Identificación y Evaluación'!$G$43</f>
        <v>5</v>
      </c>
      <c r="E14" s="75"/>
      <c r="F14" s="76">
        <f t="shared" si="1"/>
        <v>0</v>
      </c>
    </row>
    <row r="15" ht="15.0" hidden="1" customHeight="1">
      <c r="A15" s="15"/>
      <c r="B15" s="15" t="str">
        <f>'Identificación y Evaluación'!$A$1</f>
        <v>Compromiso del Cliente</v>
      </c>
      <c r="C15" s="15" t="str">
        <f>IF('Identificación y Evaluación'!H15="SI",'Identificación y Evaluación'!A15,"")</f>
        <v/>
      </c>
      <c r="D15" s="15">
        <f>'Identificación y Evaluación'!$G$43</f>
        <v>5</v>
      </c>
      <c r="E15" s="75"/>
      <c r="F15" s="76">
        <f t="shared" si="1"/>
        <v>0</v>
      </c>
    </row>
    <row r="16" ht="15.0" hidden="1" customHeight="1">
      <c r="A16" s="15"/>
      <c r="B16" s="15" t="str">
        <f>'Identificación y Evaluación'!$A$1</f>
        <v>Compromiso del Cliente</v>
      </c>
      <c r="C16" s="15" t="str">
        <f>IF('Identificación y Evaluación'!H16="SI",'Identificación y Evaluación'!A16,"")</f>
        <v/>
      </c>
      <c r="D16" s="15">
        <f>'Identificación y Evaluación'!$G$43</f>
        <v>5</v>
      </c>
      <c r="E16" s="75"/>
      <c r="F16" s="76">
        <f t="shared" si="1"/>
        <v>0</v>
      </c>
    </row>
    <row r="17" ht="15.0" hidden="1" customHeight="1">
      <c r="A17" s="15"/>
      <c r="B17" s="15" t="str">
        <f>'Identificación y Evaluación'!$A$1</f>
        <v>Compromiso del Cliente</v>
      </c>
      <c r="C17" s="15" t="str">
        <f>IF('Identificación y Evaluación'!H17="SI",'Identificación y Evaluación'!A17,"")</f>
        <v/>
      </c>
      <c r="D17" s="15">
        <f>'Identificación y Evaluación'!$G$43</f>
        <v>5</v>
      </c>
      <c r="E17" s="75"/>
      <c r="F17" s="76">
        <f t="shared" si="1"/>
        <v>0</v>
      </c>
    </row>
    <row r="18" ht="15.0" hidden="1" customHeight="1">
      <c r="A18" s="15"/>
      <c r="B18" s="15" t="str">
        <f>'Identificación y Evaluación'!$A$1</f>
        <v>Compromiso del Cliente</v>
      </c>
      <c r="C18" s="15" t="str">
        <f>IF('Identificación y Evaluación'!H18="SI",'Identificación y Evaluación'!A18,"")</f>
        <v/>
      </c>
      <c r="D18" s="15">
        <f>'Identificación y Evaluación'!$G$43</f>
        <v>5</v>
      </c>
      <c r="E18" s="75"/>
      <c r="F18" s="76">
        <f t="shared" si="1"/>
        <v>0</v>
      </c>
    </row>
    <row r="19" ht="15.0" hidden="1" customHeight="1">
      <c r="A19" s="15"/>
      <c r="B19" s="15" t="str">
        <f>'Identificación y Evaluación'!$A$1</f>
        <v>Compromiso del Cliente</v>
      </c>
      <c r="C19" s="15" t="str">
        <f>IF('Identificación y Evaluación'!H19="SI",'Identificación y Evaluación'!A19,"")</f>
        <v/>
      </c>
      <c r="D19" s="15">
        <f>'Identificación y Evaluación'!$G$43</f>
        <v>5</v>
      </c>
      <c r="E19" s="75"/>
      <c r="F19" s="76">
        <f t="shared" si="1"/>
        <v>0</v>
      </c>
    </row>
    <row r="20" ht="15.0" hidden="1" customHeight="1">
      <c r="A20" s="15"/>
      <c r="B20" s="15" t="str">
        <f>'Identificación y Evaluación'!$A$1</f>
        <v>Compromiso del Cliente</v>
      </c>
      <c r="C20" s="15" t="str">
        <f>IF('Identificación y Evaluación'!H20="SI",'Identificación y Evaluación'!A20,"")</f>
        <v/>
      </c>
      <c r="D20" s="15">
        <f>'Identificación y Evaluación'!$G$43</f>
        <v>5</v>
      </c>
      <c r="E20" s="75"/>
      <c r="F20" s="76">
        <f t="shared" si="1"/>
        <v>0</v>
      </c>
    </row>
    <row r="21" ht="15.0" hidden="1" customHeight="1">
      <c r="A21" s="15"/>
      <c r="B21" s="15" t="str">
        <f>'Identificación y Evaluación'!$A$1</f>
        <v>Compromiso del Cliente</v>
      </c>
      <c r="C21" s="15" t="str">
        <f>IF('Identificación y Evaluación'!H21="SI",'Identificación y Evaluación'!A21,"")</f>
        <v/>
      </c>
      <c r="D21" s="15">
        <f>'Identificación y Evaluación'!$G$43</f>
        <v>5</v>
      </c>
      <c r="E21" s="75"/>
      <c r="F21" s="76">
        <f t="shared" si="1"/>
        <v>0</v>
      </c>
    </row>
    <row r="22" ht="15.0" hidden="1" customHeight="1">
      <c r="A22" s="15"/>
      <c r="B22" s="15" t="str">
        <f>'Identificación y Evaluación'!$A$1</f>
        <v>Compromiso del Cliente</v>
      </c>
      <c r="C22" s="15" t="str">
        <f>IF('Identificación y Evaluación'!H22="SI",'Identificación y Evaluación'!A22,"")</f>
        <v/>
      </c>
      <c r="D22" s="15">
        <f>'Identificación y Evaluación'!$G$43</f>
        <v>5</v>
      </c>
      <c r="E22" s="75"/>
      <c r="F22" s="76">
        <f t="shared" si="1"/>
        <v>0</v>
      </c>
    </row>
    <row r="23" ht="15.0" hidden="1" customHeight="1">
      <c r="A23" s="15"/>
      <c r="B23" s="15" t="str">
        <f>'Identificación y Evaluación'!$A$1</f>
        <v>Compromiso del Cliente</v>
      </c>
      <c r="C23" s="15" t="str">
        <f>IF('Identificación y Evaluación'!H23="SI",'Identificación y Evaluación'!A23,"")</f>
        <v/>
      </c>
      <c r="D23" s="15">
        <f>'Identificación y Evaluación'!$G$43</f>
        <v>5</v>
      </c>
      <c r="E23" s="75"/>
      <c r="F23" s="76">
        <f t="shared" si="1"/>
        <v>0</v>
      </c>
    </row>
    <row r="24" ht="15.0" hidden="1" customHeight="1">
      <c r="A24" s="15"/>
      <c r="B24" s="15" t="str">
        <f>'Identificación y Evaluación'!$A$1</f>
        <v>Compromiso del Cliente</v>
      </c>
      <c r="C24" s="15" t="str">
        <f>IF('Identificación y Evaluación'!H24="SI",'Identificación y Evaluación'!A24,"")</f>
        <v/>
      </c>
      <c r="D24" s="15">
        <f>'Identificación y Evaluación'!$G$43</f>
        <v>5</v>
      </c>
      <c r="E24" s="75"/>
      <c r="F24" s="76">
        <f t="shared" si="1"/>
        <v>0</v>
      </c>
    </row>
    <row r="25" ht="15.0" hidden="1" customHeight="1">
      <c r="A25" s="15"/>
      <c r="B25" s="15" t="str">
        <f>'Identificación y Evaluación'!$A$1</f>
        <v>Compromiso del Cliente</v>
      </c>
      <c r="C25" s="15" t="str">
        <f>IF('Identificación y Evaluación'!H25="SI",'Identificación y Evaluación'!A25,"")</f>
        <v/>
      </c>
      <c r="D25" s="15">
        <f>'Identificación y Evaluación'!$G$43</f>
        <v>5</v>
      </c>
      <c r="E25" s="75"/>
      <c r="F25" s="76">
        <f t="shared" si="1"/>
        <v>0</v>
      </c>
    </row>
    <row r="26" ht="15.0" hidden="1" customHeight="1">
      <c r="A26" s="15"/>
      <c r="B26" s="15" t="str">
        <f>'Identificación y Evaluación'!$A$1</f>
        <v>Compromiso del Cliente</v>
      </c>
      <c r="C26" s="15" t="str">
        <f>IF('Identificación y Evaluación'!H26="SI",'Identificación y Evaluación'!A26,"")</f>
        <v/>
      </c>
      <c r="D26" s="15">
        <f>'Identificación y Evaluación'!$G$43</f>
        <v>5</v>
      </c>
      <c r="E26" s="75"/>
      <c r="F26" s="76">
        <f t="shared" si="1"/>
        <v>0</v>
      </c>
    </row>
    <row r="27" ht="15.0" hidden="1" customHeight="1">
      <c r="A27" s="15"/>
      <c r="B27" s="15" t="str">
        <f>'Identificación y Evaluación'!$A$1</f>
        <v>Compromiso del Cliente</v>
      </c>
      <c r="C27" s="15" t="str">
        <f>IF('Identificación y Evaluación'!H27="SI",'Identificación y Evaluación'!A27,"")</f>
        <v/>
      </c>
      <c r="D27" s="15">
        <f>'Identificación y Evaluación'!$G$43</f>
        <v>5</v>
      </c>
      <c r="E27" s="75"/>
      <c r="F27" s="76">
        <f t="shared" si="1"/>
        <v>0</v>
      </c>
    </row>
    <row r="28" ht="15.0" hidden="1" customHeight="1">
      <c r="A28" s="15"/>
      <c r="B28" s="15" t="str">
        <f>'Identificación y Evaluación'!$A$1</f>
        <v>Compromiso del Cliente</v>
      </c>
      <c r="C28" s="15" t="str">
        <f>IF('Identificación y Evaluación'!H28="SI",'Identificación y Evaluación'!A28,"")</f>
        <v/>
      </c>
      <c r="D28" s="15">
        <f>'Identificación y Evaluación'!$G$43</f>
        <v>5</v>
      </c>
      <c r="E28" s="75"/>
      <c r="F28" s="76">
        <f t="shared" si="1"/>
        <v>0</v>
      </c>
    </row>
    <row r="29" ht="15.0" hidden="1" customHeight="1">
      <c r="A29" s="15"/>
      <c r="B29" s="15" t="str">
        <f>'Identificación y Evaluación'!$A$1</f>
        <v>Compromiso del Cliente</v>
      </c>
      <c r="C29" s="15" t="str">
        <f>IF('Identificación y Evaluación'!H29="SI",'Identificación y Evaluación'!A29,"")</f>
        <v/>
      </c>
      <c r="D29" s="15">
        <f>'Identificación y Evaluación'!$G$43</f>
        <v>5</v>
      </c>
      <c r="E29" s="75"/>
      <c r="F29" s="76">
        <f t="shared" si="1"/>
        <v>0</v>
      </c>
    </row>
    <row r="30" ht="15.0" hidden="1" customHeight="1">
      <c r="A30" s="15"/>
      <c r="B30" s="15" t="str">
        <f>'Identificación y Evaluación'!$A$1</f>
        <v>Compromiso del Cliente</v>
      </c>
      <c r="C30" s="15" t="str">
        <f>IF('Identificación y Evaluación'!H30="SI",'Identificación y Evaluación'!A30,"")</f>
        <v/>
      </c>
      <c r="D30" s="15">
        <f>'Identificación y Evaluación'!$G$43</f>
        <v>5</v>
      </c>
      <c r="E30" s="75"/>
      <c r="F30" s="76">
        <f t="shared" si="1"/>
        <v>0</v>
      </c>
    </row>
    <row r="31" ht="15.0" hidden="1" customHeight="1">
      <c r="A31" s="15"/>
      <c r="B31" s="15" t="str">
        <f>'Identificación y Evaluación'!$A$1</f>
        <v>Compromiso del Cliente</v>
      </c>
      <c r="C31" s="15" t="str">
        <f>IF('Identificación y Evaluación'!H31="SI",'Identificación y Evaluación'!A31,"")</f>
        <v/>
      </c>
      <c r="D31" s="15">
        <f>'Identificación y Evaluación'!$G$43</f>
        <v>5</v>
      </c>
      <c r="E31" s="75"/>
      <c r="F31" s="76">
        <f t="shared" si="1"/>
        <v>0</v>
      </c>
    </row>
    <row r="32" ht="15.0" hidden="1" customHeight="1">
      <c r="A32" s="15"/>
      <c r="B32" s="15" t="str">
        <f>'Identificación y Evaluación'!$A$1</f>
        <v>Compromiso del Cliente</v>
      </c>
      <c r="C32" s="15" t="str">
        <f>IF('Identificación y Evaluación'!H32="SI",'Identificación y Evaluación'!A32,"")</f>
        <v/>
      </c>
      <c r="D32" s="15">
        <f>'Identificación y Evaluación'!$G$43</f>
        <v>5</v>
      </c>
      <c r="E32" s="75"/>
      <c r="F32" s="76">
        <f t="shared" si="1"/>
        <v>0</v>
      </c>
    </row>
    <row r="33" ht="15.0" hidden="1" customHeight="1">
      <c r="A33" s="15"/>
      <c r="B33" s="15" t="str">
        <f>'Identificación y Evaluación'!$A$1</f>
        <v>Compromiso del Cliente</v>
      </c>
      <c r="C33" s="15" t="str">
        <f>IF('Identificación y Evaluación'!H33="SI",'Identificación y Evaluación'!A33,"")</f>
        <v/>
      </c>
      <c r="D33" s="15">
        <f>'Identificación y Evaluación'!$G$43</f>
        <v>5</v>
      </c>
      <c r="E33" s="75"/>
      <c r="F33" s="76">
        <f t="shared" si="1"/>
        <v>0</v>
      </c>
    </row>
    <row r="34" ht="15.0" hidden="1" customHeight="1">
      <c r="A34" s="15"/>
      <c r="B34" s="15" t="str">
        <f>'Identificación y Evaluación'!$A$1</f>
        <v>Compromiso del Cliente</v>
      </c>
      <c r="C34" s="15" t="str">
        <f>IF('Identificación y Evaluación'!H34="SI",'Identificación y Evaluación'!A34,"")</f>
        <v/>
      </c>
      <c r="D34" s="15">
        <f>'Identificación y Evaluación'!$G$43</f>
        <v>5</v>
      </c>
      <c r="E34" s="75"/>
      <c r="F34" s="76">
        <f t="shared" si="1"/>
        <v>0</v>
      </c>
    </row>
    <row r="35" ht="15.0" hidden="1" customHeight="1">
      <c r="A35" s="15"/>
      <c r="B35" s="15" t="str">
        <f>'Identificación y Evaluación'!$A$1</f>
        <v>Compromiso del Cliente</v>
      </c>
      <c r="C35" s="15" t="str">
        <f>IF('Identificación y Evaluación'!H35="SI",'Identificación y Evaluación'!A35,"")</f>
        <v/>
      </c>
      <c r="D35" s="15">
        <f>'Identificación y Evaluación'!$G$43</f>
        <v>5</v>
      </c>
      <c r="E35" s="75"/>
      <c r="F35" s="76">
        <f t="shared" si="1"/>
        <v>0</v>
      </c>
    </row>
    <row r="36" ht="15.0" hidden="1" customHeight="1">
      <c r="A36" s="15"/>
      <c r="B36" s="15" t="str">
        <f>'Identificación y Evaluación'!$A$1</f>
        <v>Compromiso del Cliente</v>
      </c>
      <c r="C36" s="15" t="str">
        <f>IF('Identificación y Evaluación'!H36="SI",'Identificación y Evaluación'!A36,"")</f>
        <v/>
      </c>
      <c r="D36" s="15">
        <f>'Identificación y Evaluación'!$G$43</f>
        <v>5</v>
      </c>
      <c r="E36" s="75"/>
      <c r="F36" s="76">
        <f t="shared" si="1"/>
        <v>0</v>
      </c>
    </row>
    <row r="37" ht="15.0" hidden="1" customHeight="1">
      <c r="A37" s="15"/>
      <c r="B37" s="15" t="str">
        <f>'Identificación y Evaluación'!$A$1</f>
        <v>Compromiso del Cliente</v>
      </c>
      <c r="C37" s="15" t="str">
        <f>IF('Identificación y Evaluación'!H37="SI",'Identificación y Evaluación'!A37,"")</f>
        <v/>
      </c>
      <c r="D37" s="15">
        <f>'Identificación y Evaluación'!$G$43</f>
        <v>5</v>
      </c>
      <c r="E37" s="75"/>
      <c r="F37" s="76">
        <f t="shared" si="1"/>
        <v>0</v>
      </c>
    </row>
    <row r="38" ht="15.0" hidden="1" customHeight="1">
      <c r="A38" s="15"/>
      <c r="B38" s="15" t="str">
        <f>'Identificación y Evaluación'!$A$1</f>
        <v>Compromiso del Cliente</v>
      </c>
      <c r="C38" s="15" t="str">
        <f>IF('Identificación y Evaluación'!H38="SI",'Identificación y Evaluación'!A38,"")</f>
        <v/>
      </c>
      <c r="D38" s="15">
        <f>'Identificación y Evaluación'!$G$43</f>
        <v>5</v>
      </c>
      <c r="E38" s="75"/>
      <c r="F38" s="76">
        <f t="shared" si="1"/>
        <v>0</v>
      </c>
    </row>
    <row r="39" ht="15.0" hidden="1" customHeight="1">
      <c r="A39" s="15"/>
      <c r="B39" s="15" t="str">
        <f>'Identificación y Evaluación'!$A$1</f>
        <v>Compromiso del Cliente</v>
      </c>
      <c r="C39" s="15" t="str">
        <f>IF('Identificación y Evaluación'!H39="SI",'Identificación y Evaluación'!A39,"")</f>
        <v/>
      </c>
      <c r="D39" s="15">
        <f>'Identificación y Evaluación'!$G$43</f>
        <v>5</v>
      </c>
      <c r="E39" s="75"/>
      <c r="F39" s="76">
        <f t="shared" si="1"/>
        <v>0</v>
      </c>
    </row>
    <row r="40" ht="15.0" hidden="1" customHeight="1">
      <c r="A40" s="15"/>
      <c r="B40" s="15" t="str">
        <f>'Identificación y Evaluación'!$A$1</f>
        <v>Compromiso del Cliente</v>
      </c>
      <c r="C40" s="15" t="str">
        <f>IF('Identificación y Evaluación'!H40="SI",'Identificación y Evaluación'!A40,"")</f>
        <v/>
      </c>
      <c r="D40" s="15">
        <f>'Identificación y Evaluación'!$G$43</f>
        <v>5</v>
      </c>
      <c r="E40" s="75"/>
      <c r="F40" s="76">
        <f t="shared" si="1"/>
        <v>0</v>
      </c>
    </row>
    <row r="41" ht="15.0" hidden="1" customHeight="1">
      <c r="A41" s="15"/>
      <c r="B41" s="15" t="str">
        <f>'Identificación y Evaluación'!$A$1</f>
        <v>Compromiso del Cliente</v>
      </c>
      <c r="C41" s="15" t="str">
        <f>IF('Identificación y Evaluación'!H41="SI",'Identificación y Evaluación'!A41,"")</f>
        <v/>
      </c>
      <c r="D41" s="15">
        <f>'Identificación y Evaluación'!$G$43</f>
        <v>5</v>
      </c>
      <c r="E41" s="75"/>
      <c r="F41" s="76">
        <f t="shared" si="1"/>
        <v>0</v>
      </c>
    </row>
    <row r="42" ht="15.0" hidden="1" customHeight="1">
      <c r="A42" s="15"/>
      <c r="B42" s="15" t="str">
        <f>'Identificación y Evaluación'!$A$1</f>
        <v>Compromiso del Cliente</v>
      </c>
      <c r="C42" s="15" t="str">
        <f>IF('Identificación y Evaluación'!H42="SI",'Identificación y Evaluación'!A42,"")</f>
        <v/>
      </c>
      <c r="D42" s="15">
        <f>'Identificación y Evaluación'!$G$43</f>
        <v>5</v>
      </c>
      <c r="E42" s="75"/>
      <c r="F42" s="76">
        <f t="shared" si="1"/>
        <v>0</v>
      </c>
    </row>
    <row r="43" ht="15.0" hidden="1" customHeight="1">
      <c r="A43" s="15"/>
      <c r="B43" s="15" t="str">
        <f>'Identificación y Evaluación'!$A$1</f>
        <v>Compromiso del Cliente</v>
      </c>
      <c r="C43" s="15" t="str">
        <f>IF('Identificación y Evaluación'!H43="SI",'Identificación y Evaluación'!A43,"")</f>
        <v/>
      </c>
      <c r="D43" s="15">
        <f>'Identificación y Evaluación'!$G$43</f>
        <v>5</v>
      </c>
      <c r="E43" s="75"/>
      <c r="F43" s="76">
        <f t="shared" si="1"/>
        <v>0</v>
      </c>
    </row>
    <row r="44" ht="15.0" hidden="1" customHeight="1">
      <c r="A44" s="15"/>
      <c r="B44" s="15" t="str">
        <f>'Identificación y Evaluación'!$A$1</f>
        <v>Compromiso del Cliente</v>
      </c>
      <c r="C44" s="15" t="str">
        <f>IF('Identificación y Evaluación'!H44="SI",'Identificación y Evaluación'!A44,"")</f>
        <v/>
      </c>
      <c r="D44" s="15">
        <f>'Identificación y Evaluación'!$G$43</f>
        <v>5</v>
      </c>
      <c r="E44" s="75"/>
      <c r="F44" s="76">
        <f t="shared" si="1"/>
        <v>0</v>
      </c>
    </row>
    <row r="45" ht="15.0" hidden="1" customHeight="1">
      <c r="A45" s="15"/>
      <c r="B45" s="15" t="str">
        <f>'Identificación y Evaluación'!$A$1</f>
        <v>Compromiso del Cliente</v>
      </c>
      <c r="C45" s="15" t="str">
        <f>IF('Identificación y Evaluación'!H45="SI",'Identificación y Evaluación'!A45,"")</f>
        <v/>
      </c>
      <c r="D45" s="15">
        <f>'Identificación y Evaluación'!$G$43</f>
        <v>5</v>
      </c>
      <c r="E45" s="75"/>
      <c r="F45" s="76">
        <f t="shared" si="1"/>
        <v>0</v>
      </c>
    </row>
    <row r="46" ht="15.0" hidden="1" customHeight="1">
      <c r="A46" s="15"/>
      <c r="B46" s="15" t="str">
        <f>'Identificación y Evaluación'!$A$1</f>
        <v>Compromiso del Cliente</v>
      </c>
      <c r="C46" s="15" t="str">
        <f>IF('Identificación y Evaluación'!H46="SI",'Identificación y Evaluación'!A46,"")</f>
        <v/>
      </c>
      <c r="D46" s="15">
        <f>'Identificación y Evaluación'!$G$43</f>
        <v>5</v>
      </c>
      <c r="E46" s="75"/>
      <c r="F46" s="76">
        <f t="shared" si="1"/>
        <v>0</v>
      </c>
    </row>
    <row r="47" ht="15.0" hidden="1" customHeight="1">
      <c r="A47" s="15"/>
      <c r="B47" s="15" t="str">
        <f>'Identificación y Evaluación'!$A$1</f>
        <v>Compromiso del Cliente</v>
      </c>
      <c r="C47" s="15" t="str">
        <f>IF('Identificación y Evaluación'!H47="SI",'Identificación y Evaluación'!A47,"")</f>
        <v/>
      </c>
      <c r="D47" s="15">
        <f>'Identificación y Evaluación'!$G$43</f>
        <v>5</v>
      </c>
      <c r="E47" s="75"/>
      <c r="F47" s="76">
        <f t="shared" si="1"/>
        <v>0</v>
      </c>
    </row>
    <row r="48" ht="15.0" hidden="1" customHeight="1">
      <c r="A48" s="15"/>
      <c r="B48" s="15" t="str">
        <f>'Identificación y Evaluación'!$A$1</f>
        <v>Compromiso del Cliente</v>
      </c>
      <c r="C48" s="15" t="str">
        <f>IF('Identificación y Evaluación'!H48="SI",'Identificación y Evaluación'!A48,"")</f>
        <v/>
      </c>
      <c r="D48" s="15">
        <f>'Identificación y Evaluación'!$G$43</f>
        <v>5</v>
      </c>
      <c r="E48" s="75"/>
      <c r="F48" s="76">
        <f t="shared" si="1"/>
        <v>0</v>
      </c>
    </row>
    <row r="49" ht="15.0" hidden="1" customHeight="1">
      <c r="A49" s="15"/>
      <c r="B49" s="15" t="str">
        <f>'Identificación y Evaluación'!$A$49</f>
        <v>Definición del Cliente</v>
      </c>
      <c r="C49" s="15" t="str">
        <f>IF('Identificación y Evaluación'!H49="SI",'Identificación y Evaluación'!A49,"")</f>
        <v/>
      </c>
      <c r="D49" s="15">
        <f>'Identificación y Evaluación'!$G$91</f>
        <v>5</v>
      </c>
      <c r="E49" s="75"/>
      <c r="F49" s="76">
        <f t="shared" si="1"/>
        <v>0</v>
      </c>
    </row>
    <row r="50" ht="15.0" hidden="1" customHeight="1">
      <c r="A50" s="15"/>
      <c r="B50" s="15" t="str">
        <f>'Identificación y Evaluación'!$A$49</f>
        <v>Definición del Cliente</v>
      </c>
      <c r="C50" s="15" t="str">
        <f>IF('Identificación y Evaluación'!H50="SI",'Identificación y Evaluación'!A50,"")</f>
        <v/>
      </c>
      <c r="D50" s="15">
        <f>'Identificación y Evaluación'!$G$91</f>
        <v>5</v>
      </c>
      <c r="E50" s="75"/>
      <c r="F50" s="76">
        <f t="shared" si="1"/>
        <v>0</v>
      </c>
    </row>
    <row r="51" ht="15.75" hidden="1" customHeight="1">
      <c r="A51" s="15"/>
      <c r="B51" s="15" t="str">
        <f>'Identificación y Evaluación'!$A$49</f>
        <v>Definición del Cliente</v>
      </c>
      <c r="C51" s="15" t="str">
        <f>IF('Identificación y Evaluación'!H51="SI",'Identificación y Evaluación'!A51,"")</f>
        <v/>
      </c>
      <c r="D51" s="15">
        <f>'Identificación y Evaluación'!$G$91</f>
        <v>5</v>
      </c>
      <c r="E51" s="75">
        <v>0.15</v>
      </c>
      <c r="F51" s="76">
        <f t="shared" si="1"/>
        <v>75</v>
      </c>
    </row>
    <row r="52" ht="15.75" hidden="1" customHeight="1">
      <c r="A52" s="15"/>
      <c r="B52" s="15" t="str">
        <f>'Identificación y Evaluación'!$A$49</f>
        <v>Definición del Cliente</v>
      </c>
      <c r="C52" s="15" t="str">
        <f>IF('Identificación y Evaluación'!H52="SI",'Identificación y Evaluación'!A52,"")</f>
        <v/>
      </c>
      <c r="D52" s="15">
        <f>'Identificación y Evaluación'!$G$91</f>
        <v>5</v>
      </c>
      <c r="E52" s="75"/>
      <c r="F52" s="76">
        <f t="shared" si="1"/>
        <v>0</v>
      </c>
    </row>
    <row r="53" ht="15.0" hidden="1" customHeight="1">
      <c r="A53" s="15"/>
      <c r="B53" s="15" t="str">
        <f>'Identificación y Evaluación'!$A$49</f>
        <v>Definición del Cliente</v>
      </c>
      <c r="C53" s="15" t="str">
        <f>IF('Identificación y Evaluación'!H53="SI",'Identificación y Evaluación'!A53,"")</f>
        <v/>
      </c>
      <c r="D53" s="15">
        <f>'Identificación y Evaluación'!$G$91</f>
        <v>5</v>
      </c>
      <c r="E53" s="75"/>
      <c r="F53" s="76">
        <f t="shared" si="1"/>
        <v>0</v>
      </c>
    </row>
    <row r="54" ht="15.0" hidden="1" customHeight="1">
      <c r="A54" s="15"/>
      <c r="B54" s="15" t="str">
        <f>'Identificación y Evaluación'!$A$49</f>
        <v>Definición del Cliente</v>
      </c>
      <c r="C54" s="15" t="str">
        <f>IF('Identificación y Evaluación'!H54="SI",'Identificación y Evaluación'!A54,"")</f>
        <v/>
      </c>
      <c r="D54" s="15">
        <f>'Identificación y Evaluación'!$G$91</f>
        <v>5</v>
      </c>
      <c r="E54" s="75"/>
      <c r="F54" s="76">
        <f t="shared" si="1"/>
        <v>0</v>
      </c>
    </row>
    <row r="55" ht="15.0" hidden="1" customHeight="1">
      <c r="A55" s="15"/>
      <c r="B55" s="15" t="str">
        <f>'Identificación y Evaluación'!$A$49</f>
        <v>Definición del Cliente</v>
      </c>
      <c r="C55" s="15" t="str">
        <f>IF('Identificación y Evaluación'!H55="SI",'Identificación y Evaluación'!A55,"")</f>
        <v/>
      </c>
      <c r="D55" s="15">
        <f>'Identificación y Evaluación'!$G$91</f>
        <v>5</v>
      </c>
      <c r="E55" s="75"/>
      <c r="F55" s="76">
        <f t="shared" si="1"/>
        <v>0</v>
      </c>
    </row>
    <row r="56" ht="15.0" hidden="1" customHeight="1">
      <c r="A56" s="15"/>
      <c r="B56" s="15" t="str">
        <f>'Identificación y Evaluación'!$A$49</f>
        <v>Definición del Cliente</v>
      </c>
      <c r="C56" s="15" t="str">
        <f>IF('Identificación y Evaluación'!H56="SI",'Identificación y Evaluación'!A56,"")</f>
        <v/>
      </c>
      <c r="D56" s="15">
        <f>'Identificación y Evaluación'!$G$91</f>
        <v>5</v>
      </c>
      <c r="E56" s="75"/>
      <c r="F56" s="76">
        <f t="shared" si="1"/>
        <v>0</v>
      </c>
    </row>
    <row r="57" ht="15.0" hidden="1" customHeight="1">
      <c r="A57" s="15"/>
      <c r="B57" s="15" t="str">
        <f>'Identificación y Evaluación'!$A$49</f>
        <v>Definición del Cliente</v>
      </c>
      <c r="C57" s="15" t="str">
        <f>IF('Identificación y Evaluación'!H57="SI",'Identificación y Evaluación'!A57,"")</f>
        <v/>
      </c>
      <c r="D57" s="15">
        <f>'Identificación y Evaluación'!$G$91</f>
        <v>5</v>
      </c>
      <c r="E57" s="75"/>
      <c r="F57" s="76">
        <f t="shared" si="1"/>
        <v>0</v>
      </c>
    </row>
    <row r="58" ht="15.0" hidden="1" customHeight="1">
      <c r="A58" s="15"/>
      <c r="B58" s="15" t="str">
        <f>'Identificación y Evaluación'!$A$49</f>
        <v>Definición del Cliente</v>
      </c>
      <c r="C58" s="15" t="str">
        <f>IF('Identificación y Evaluación'!H58="SI",'Identificación y Evaluación'!A58,"")</f>
        <v/>
      </c>
      <c r="D58" s="15">
        <f>'Identificación y Evaluación'!$G$91</f>
        <v>5</v>
      </c>
      <c r="E58" s="75"/>
      <c r="F58" s="76">
        <f t="shared" si="1"/>
        <v>0</v>
      </c>
    </row>
    <row r="59" ht="15.0" hidden="1" customHeight="1">
      <c r="A59" s="15"/>
      <c r="B59" s="15" t="str">
        <f>'Identificación y Evaluación'!$A$49</f>
        <v>Definición del Cliente</v>
      </c>
      <c r="C59" s="15" t="str">
        <f>IF('Identificación y Evaluación'!H59="SI",'Identificación y Evaluación'!A59,"")</f>
        <v/>
      </c>
      <c r="D59" s="15">
        <f>'Identificación y Evaluación'!$G$91</f>
        <v>5</v>
      </c>
      <c r="E59" s="75"/>
      <c r="F59" s="76">
        <f t="shared" si="1"/>
        <v>0</v>
      </c>
    </row>
    <row r="60" ht="15.0" hidden="1" customHeight="1">
      <c r="A60" s="15"/>
      <c r="B60" s="15" t="str">
        <f>'Identificación y Evaluación'!$A$49</f>
        <v>Definición del Cliente</v>
      </c>
      <c r="C60" s="15" t="str">
        <f>IF('Identificación y Evaluación'!H60="SI",'Identificación y Evaluación'!A60,"")</f>
        <v/>
      </c>
      <c r="D60" s="15">
        <f>'Identificación y Evaluación'!$G$91</f>
        <v>5</v>
      </c>
      <c r="E60" s="75"/>
      <c r="F60" s="76">
        <f t="shared" si="1"/>
        <v>0</v>
      </c>
    </row>
    <row r="61" ht="15.0" hidden="1" customHeight="1">
      <c r="A61" s="15"/>
      <c r="B61" s="15" t="str">
        <f>'Identificación y Evaluación'!$A$49</f>
        <v>Definición del Cliente</v>
      </c>
      <c r="C61" s="15" t="str">
        <f>IF('Identificación y Evaluación'!H61="SI",'Identificación y Evaluación'!A61,"")</f>
        <v/>
      </c>
      <c r="D61" s="15">
        <f>'Identificación y Evaluación'!$G$91</f>
        <v>5</v>
      </c>
      <c r="E61" s="75"/>
      <c r="F61" s="76">
        <f t="shared" si="1"/>
        <v>0</v>
      </c>
    </row>
    <row r="62" ht="15.0" hidden="1" customHeight="1">
      <c r="A62" s="15"/>
      <c r="B62" s="15" t="str">
        <f>'Identificación y Evaluación'!$A$49</f>
        <v>Definición del Cliente</v>
      </c>
      <c r="C62" s="15" t="str">
        <f>IF('Identificación y Evaluación'!H62="SI",'Identificación y Evaluación'!A62,"")</f>
        <v/>
      </c>
      <c r="D62" s="15">
        <f>'Identificación y Evaluación'!$G$91</f>
        <v>5</v>
      </c>
      <c r="E62" s="75"/>
      <c r="F62" s="76">
        <f t="shared" si="1"/>
        <v>0</v>
      </c>
    </row>
    <row r="63" ht="15.0" hidden="1" customHeight="1">
      <c r="A63" s="15"/>
      <c r="B63" s="15" t="str">
        <f>'Identificación y Evaluación'!$A$49</f>
        <v>Definición del Cliente</v>
      </c>
      <c r="C63" s="15" t="str">
        <f>IF('Identificación y Evaluación'!H63="SI",'Identificación y Evaluación'!A63,"")</f>
        <v/>
      </c>
      <c r="D63" s="15">
        <f>'Identificación y Evaluación'!$G$91</f>
        <v>5</v>
      </c>
      <c r="E63" s="75"/>
      <c r="F63" s="76">
        <f t="shared" si="1"/>
        <v>0</v>
      </c>
    </row>
    <row r="64" ht="15.0" hidden="1" customHeight="1">
      <c r="A64" s="15"/>
      <c r="B64" s="15" t="str">
        <f>'Identificación y Evaluación'!$A$49</f>
        <v>Definición del Cliente</v>
      </c>
      <c r="C64" s="15" t="str">
        <f>IF('Identificación y Evaluación'!H64="SI",'Identificación y Evaluación'!A64,"")</f>
        <v/>
      </c>
      <c r="D64" s="15">
        <f>'Identificación y Evaluación'!$G$91</f>
        <v>5</v>
      </c>
      <c r="E64" s="75"/>
      <c r="F64" s="76">
        <f t="shared" si="1"/>
        <v>0</v>
      </c>
    </row>
    <row r="65" ht="15.0" hidden="1" customHeight="1">
      <c r="A65" s="15"/>
      <c r="B65" s="15" t="str">
        <f>'Identificación y Evaluación'!$A$49</f>
        <v>Definición del Cliente</v>
      </c>
      <c r="C65" s="15" t="str">
        <f>IF('Identificación y Evaluación'!H65="SI",'Identificación y Evaluación'!A65,"")</f>
        <v/>
      </c>
      <c r="D65" s="15">
        <f>'Identificación y Evaluación'!$G$91</f>
        <v>5</v>
      </c>
      <c r="E65" s="75"/>
      <c r="F65" s="76">
        <f t="shared" si="1"/>
        <v>0</v>
      </c>
    </row>
    <row r="66" ht="15.0" hidden="1" customHeight="1">
      <c r="A66" s="15"/>
      <c r="B66" s="15" t="str">
        <f>'Identificación y Evaluación'!$A$49</f>
        <v>Definición del Cliente</v>
      </c>
      <c r="C66" s="15" t="str">
        <f>IF('Identificación y Evaluación'!H66="SI",'Identificación y Evaluación'!A66,"")</f>
        <v/>
      </c>
      <c r="D66" s="15">
        <f>'Identificación y Evaluación'!$G$91</f>
        <v>5</v>
      </c>
      <c r="E66" s="75"/>
      <c r="F66" s="76">
        <f t="shared" si="1"/>
        <v>0</v>
      </c>
    </row>
    <row r="67" ht="15.0" hidden="1" customHeight="1">
      <c r="A67" s="15"/>
      <c r="B67" s="15" t="str">
        <f>'Identificación y Evaluación'!$A$49</f>
        <v>Definición del Cliente</v>
      </c>
      <c r="C67" s="15" t="str">
        <f>IF('Identificación y Evaluación'!H67="SI",'Identificación y Evaluación'!A67,"")</f>
        <v/>
      </c>
      <c r="D67" s="15">
        <f>'Identificación y Evaluación'!$G$91</f>
        <v>5</v>
      </c>
      <c r="E67" s="75"/>
      <c r="F67" s="76">
        <f t="shared" si="1"/>
        <v>0</v>
      </c>
    </row>
    <row r="68" ht="15.0" hidden="1" customHeight="1">
      <c r="A68" s="15"/>
      <c r="B68" s="15" t="str">
        <f>'Identificación y Evaluación'!$A$49</f>
        <v>Definición del Cliente</v>
      </c>
      <c r="C68" s="15" t="str">
        <f>IF('Identificación y Evaluación'!H68="SI",'Identificación y Evaluación'!A68,"")</f>
        <v/>
      </c>
      <c r="D68" s="15">
        <f>'Identificación y Evaluación'!$G$91</f>
        <v>5</v>
      </c>
      <c r="E68" s="75"/>
      <c r="F68" s="76">
        <f t="shared" si="1"/>
        <v>0</v>
      </c>
    </row>
    <row r="69" ht="15.0" hidden="1" customHeight="1">
      <c r="A69" s="15"/>
      <c r="B69" s="15" t="str">
        <f>'Identificación y Evaluación'!$A$49</f>
        <v>Definición del Cliente</v>
      </c>
      <c r="C69" s="15" t="str">
        <f>IF('Identificación y Evaluación'!H69="SI",'Identificación y Evaluación'!A69,"")</f>
        <v/>
      </c>
      <c r="D69" s="15">
        <f>'Identificación y Evaluación'!$G$91</f>
        <v>5</v>
      </c>
      <c r="E69" s="75"/>
      <c r="F69" s="76">
        <f t="shared" si="1"/>
        <v>0</v>
      </c>
    </row>
    <row r="70" ht="15.0" hidden="1" customHeight="1">
      <c r="A70" s="15"/>
      <c r="B70" s="15" t="str">
        <f>'Identificación y Evaluación'!$A$49</f>
        <v>Definición del Cliente</v>
      </c>
      <c r="C70" s="15" t="str">
        <f>IF('Identificación y Evaluación'!H70="SI",'Identificación y Evaluación'!A70,"")</f>
        <v/>
      </c>
      <c r="D70" s="15">
        <f>'Identificación y Evaluación'!$G$91</f>
        <v>5</v>
      </c>
      <c r="E70" s="75"/>
      <c r="F70" s="76">
        <f t="shared" si="1"/>
        <v>0</v>
      </c>
    </row>
    <row r="71" ht="15.0" hidden="1" customHeight="1">
      <c r="A71" s="15"/>
      <c r="B71" s="15" t="str">
        <f>'Identificación y Evaluación'!$A$49</f>
        <v>Definición del Cliente</v>
      </c>
      <c r="C71" s="15" t="str">
        <f>IF('Identificación y Evaluación'!H71="SI",'Identificación y Evaluación'!A71,"")</f>
        <v/>
      </c>
      <c r="D71" s="15">
        <f>'Identificación y Evaluación'!$G$91</f>
        <v>5</v>
      </c>
      <c r="E71" s="75"/>
      <c r="F71" s="76">
        <f t="shared" si="1"/>
        <v>0</v>
      </c>
    </row>
    <row r="72" ht="15.0" hidden="1" customHeight="1">
      <c r="A72" s="15"/>
      <c r="B72" s="15" t="str">
        <f>'Identificación y Evaluación'!$A$49</f>
        <v>Definición del Cliente</v>
      </c>
      <c r="C72" s="15" t="str">
        <f>IF('Identificación y Evaluación'!H72="SI",'Identificación y Evaluación'!A72,"")</f>
        <v/>
      </c>
      <c r="D72" s="15">
        <f>'Identificación y Evaluación'!$G$91</f>
        <v>5</v>
      </c>
      <c r="E72" s="75"/>
      <c r="F72" s="76">
        <f t="shared" si="1"/>
        <v>0</v>
      </c>
    </row>
    <row r="73" ht="15.0" hidden="1" customHeight="1">
      <c r="A73" s="15"/>
      <c r="B73" s="15" t="str">
        <f>'Identificación y Evaluación'!$A$49</f>
        <v>Definición del Cliente</v>
      </c>
      <c r="C73" s="15" t="str">
        <f>IF('Identificación y Evaluación'!H73="SI",'Identificación y Evaluación'!A73,"")</f>
        <v/>
      </c>
      <c r="D73" s="15">
        <f>'Identificación y Evaluación'!$G$91</f>
        <v>5</v>
      </c>
      <c r="E73" s="75"/>
      <c r="F73" s="76">
        <f t="shared" si="1"/>
        <v>0</v>
      </c>
    </row>
    <row r="74" ht="15.0" hidden="1" customHeight="1">
      <c r="A74" s="15"/>
      <c r="B74" s="15" t="str">
        <f>'Identificación y Evaluación'!$A$49</f>
        <v>Definición del Cliente</v>
      </c>
      <c r="C74" s="15" t="str">
        <f>IF('Identificación y Evaluación'!H74="SI",'Identificación y Evaluación'!A74,"")</f>
        <v/>
      </c>
      <c r="D74" s="15">
        <f>'Identificación y Evaluación'!$G$91</f>
        <v>5</v>
      </c>
      <c r="E74" s="75"/>
      <c r="F74" s="76">
        <f t="shared" si="1"/>
        <v>0</v>
      </c>
    </row>
    <row r="75" ht="15.0" hidden="1" customHeight="1">
      <c r="A75" s="15"/>
      <c r="B75" s="15" t="str">
        <f>'Identificación y Evaluación'!$A$49</f>
        <v>Definición del Cliente</v>
      </c>
      <c r="C75" s="15" t="str">
        <f>IF('Identificación y Evaluación'!H75="SI",'Identificación y Evaluación'!A75,"")</f>
        <v/>
      </c>
      <c r="D75" s="15">
        <f>'Identificación y Evaluación'!$G$91</f>
        <v>5</v>
      </c>
      <c r="E75" s="75"/>
      <c r="F75" s="76">
        <f t="shared" si="1"/>
        <v>0</v>
      </c>
    </row>
    <row r="76" ht="15.0" hidden="1" customHeight="1">
      <c r="A76" s="15"/>
      <c r="B76" s="15" t="str">
        <f>'Identificación y Evaluación'!$A$49</f>
        <v>Definición del Cliente</v>
      </c>
      <c r="C76" s="15" t="str">
        <f>IF('Identificación y Evaluación'!H76="SI",'Identificación y Evaluación'!A76,"")</f>
        <v/>
      </c>
      <c r="D76" s="15">
        <f>'Identificación y Evaluación'!$G$91</f>
        <v>5</v>
      </c>
      <c r="E76" s="75"/>
      <c r="F76" s="76">
        <f t="shared" si="1"/>
        <v>0</v>
      </c>
    </row>
    <row r="77" ht="15.0" hidden="1" customHeight="1">
      <c r="A77" s="15"/>
      <c r="B77" s="15" t="str">
        <f>'Identificación y Evaluación'!$A$49</f>
        <v>Definición del Cliente</v>
      </c>
      <c r="C77" s="15" t="str">
        <f>IF('Identificación y Evaluación'!H77="SI",'Identificación y Evaluación'!A77,"")</f>
        <v/>
      </c>
      <c r="D77" s="15">
        <f>'Identificación y Evaluación'!$G$91</f>
        <v>5</v>
      </c>
      <c r="E77" s="75"/>
      <c r="F77" s="76">
        <f t="shared" si="1"/>
        <v>0</v>
      </c>
    </row>
    <row r="78" ht="15.0" hidden="1" customHeight="1">
      <c r="A78" s="15"/>
      <c r="B78" s="15" t="str">
        <f>'Identificación y Evaluación'!$A$49</f>
        <v>Definición del Cliente</v>
      </c>
      <c r="C78" s="15" t="str">
        <f>IF('Identificación y Evaluación'!H78="SI",'Identificación y Evaluación'!A78,"")</f>
        <v/>
      </c>
      <c r="D78" s="15">
        <f>'Identificación y Evaluación'!$G$91</f>
        <v>5</v>
      </c>
      <c r="E78" s="75"/>
      <c r="F78" s="76">
        <f t="shared" si="1"/>
        <v>0</v>
      </c>
    </row>
    <row r="79" ht="15.0" hidden="1" customHeight="1">
      <c r="A79" s="15"/>
      <c r="B79" s="15" t="str">
        <f>'Identificación y Evaluación'!$A$49</f>
        <v>Definición del Cliente</v>
      </c>
      <c r="C79" s="15" t="str">
        <f>IF('Identificación y Evaluación'!H79="SI",'Identificación y Evaluación'!A79,"")</f>
        <v/>
      </c>
      <c r="D79" s="15">
        <f>'Identificación y Evaluación'!$G$91</f>
        <v>5</v>
      </c>
      <c r="E79" s="75"/>
      <c r="F79" s="76">
        <f t="shared" si="1"/>
        <v>0</v>
      </c>
    </row>
    <row r="80" ht="15.0" hidden="1" customHeight="1">
      <c r="A80" s="15"/>
      <c r="B80" s="15" t="str">
        <f>'Identificación y Evaluación'!$A$49</f>
        <v>Definición del Cliente</v>
      </c>
      <c r="C80" s="15" t="str">
        <f>IF('Identificación y Evaluación'!H80="SI",'Identificación y Evaluación'!A80,"")</f>
        <v/>
      </c>
      <c r="D80" s="15">
        <f>'Identificación y Evaluación'!$G$91</f>
        <v>5</v>
      </c>
      <c r="E80" s="75"/>
      <c r="F80" s="76">
        <f t="shared" si="1"/>
        <v>0</v>
      </c>
    </row>
    <row r="81" ht="15.0" hidden="1" customHeight="1">
      <c r="A81" s="15"/>
      <c r="B81" s="15" t="str">
        <f>'Identificación y Evaluación'!$A$49</f>
        <v>Definición del Cliente</v>
      </c>
      <c r="C81" s="15" t="str">
        <f>IF('Identificación y Evaluación'!H81="SI",'Identificación y Evaluación'!A81,"")</f>
        <v/>
      </c>
      <c r="D81" s="15">
        <f>'Identificación y Evaluación'!$G$91</f>
        <v>5</v>
      </c>
      <c r="E81" s="75"/>
      <c r="F81" s="76">
        <f t="shared" si="1"/>
        <v>0</v>
      </c>
    </row>
    <row r="82" ht="15.0" hidden="1" customHeight="1">
      <c r="A82" s="15"/>
      <c r="B82" s="15" t="str">
        <f>'Identificación y Evaluación'!$A$49</f>
        <v>Definición del Cliente</v>
      </c>
      <c r="C82" s="15" t="str">
        <f>IF('Identificación y Evaluación'!H82="SI",'Identificación y Evaluación'!A82,"")</f>
        <v/>
      </c>
      <c r="D82" s="15">
        <f>'Identificación y Evaluación'!$G$91</f>
        <v>5</v>
      </c>
      <c r="E82" s="75"/>
      <c r="F82" s="76">
        <f t="shared" si="1"/>
        <v>0</v>
      </c>
    </row>
    <row r="83" ht="15.0" hidden="1" customHeight="1">
      <c r="A83" s="15"/>
      <c r="B83" s="15" t="str">
        <f>'Identificación y Evaluación'!$A$49</f>
        <v>Definición del Cliente</v>
      </c>
      <c r="C83" s="15" t="str">
        <f>IF('Identificación y Evaluación'!H83="SI",'Identificación y Evaluación'!A83,"")</f>
        <v/>
      </c>
      <c r="D83" s="15">
        <f>'Identificación y Evaluación'!$G$91</f>
        <v>5</v>
      </c>
      <c r="E83" s="75"/>
      <c r="F83" s="76">
        <f t="shared" si="1"/>
        <v>0</v>
      </c>
    </row>
    <row r="84" ht="15.0" hidden="1" customHeight="1">
      <c r="A84" s="15"/>
      <c r="B84" s="15" t="str">
        <f>'Identificación y Evaluación'!$A$49</f>
        <v>Definición del Cliente</v>
      </c>
      <c r="C84" s="15" t="str">
        <f>IF('Identificación y Evaluación'!H84="SI",'Identificación y Evaluación'!A84,"")</f>
        <v/>
      </c>
      <c r="D84" s="15">
        <f>'Identificación y Evaluación'!$G$91</f>
        <v>5</v>
      </c>
      <c r="E84" s="75"/>
      <c r="F84" s="76">
        <f t="shared" si="1"/>
        <v>0</v>
      </c>
    </row>
    <row r="85" ht="15.0" hidden="1" customHeight="1">
      <c r="A85" s="15"/>
      <c r="B85" s="15" t="str">
        <f>'Identificación y Evaluación'!$A$49</f>
        <v>Definición del Cliente</v>
      </c>
      <c r="C85" s="15" t="str">
        <f>IF('Identificación y Evaluación'!H85="SI",'Identificación y Evaluación'!A85,"")</f>
        <v/>
      </c>
      <c r="D85" s="15">
        <f>'Identificación y Evaluación'!$G$91</f>
        <v>5</v>
      </c>
      <c r="E85" s="75"/>
      <c r="F85" s="76">
        <f t="shared" si="1"/>
        <v>0</v>
      </c>
    </row>
    <row r="86" ht="15.0" hidden="1" customHeight="1">
      <c r="A86" s="15"/>
      <c r="B86" s="15" t="str">
        <f>'Identificación y Evaluación'!$A$49</f>
        <v>Definición del Cliente</v>
      </c>
      <c r="C86" s="15" t="str">
        <f>IF('Identificación y Evaluación'!H86="SI",'Identificación y Evaluación'!A86,"")</f>
        <v/>
      </c>
      <c r="D86" s="15">
        <f>'Identificación y Evaluación'!$G$91</f>
        <v>5</v>
      </c>
      <c r="E86" s="75"/>
      <c r="F86" s="76">
        <f t="shared" si="1"/>
        <v>0</v>
      </c>
    </row>
    <row r="87" ht="15.0" hidden="1" customHeight="1">
      <c r="A87" s="15"/>
      <c r="B87" s="15" t="str">
        <f>'Identificación y Evaluación'!$A$49</f>
        <v>Definición del Cliente</v>
      </c>
      <c r="C87" s="15" t="str">
        <f>IF('Identificación y Evaluación'!H87="SI",'Identificación y Evaluación'!A87,"")</f>
        <v/>
      </c>
      <c r="D87" s="15">
        <f>'Identificación y Evaluación'!$G$91</f>
        <v>5</v>
      </c>
      <c r="E87" s="75"/>
      <c r="F87" s="76">
        <f t="shared" si="1"/>
        <v>0</v>
      </c>
    </row>
    <row r="88" ht="15.0" hidden="1" customHeight="1">
      <c r="A88" s="15"/>
      <c r="B88" s="15" t="str">
        <f>'Identificación y Evaluación'!$A$49</f>
        <v>Definición del Cliente</v>
      </c>
      <c r="C88" s="15" t="str">
        <f>IF('Identificación y Evaluación'!H88="SI",'Identificación y Evaluación'!A88,"")</f>
        <v/>
      </c>
      <c r="D88" s="15">
        <f>'Identificación y Evaluación'!$G$91</f>
        <v>5</v>
      </c>
      <c r="E88" s="75"/>
      <c r="F88" s="76">
        <f t="shared" si="1"/>
        <v>0</v>
      </c>
    </row>
    <row r="89" ht="15.0" hidden="1" customHeight="1">
      <c r="A89" s="15"/>
      <c r="B89" s="15" t="str">
        <f>'Identificación y Evaluación'!$A$49</f>
        <v>Definición del Cliente</v>
      </c>
      <c r="C89" s="15" t="str">
        <f>IF('Identificación y Evaluación'!H89="SI",'Identificación y Evaluación'!A89,"")</f>
        <v/>
      </c>
      <c r="D89" s="15">
        <f>'Identificación y Evaluación'!$G$91</f>
        <v>5</v>
      </c>
      <c r="E89" s="75"/>
      <c r="F89" s="76">
        <f t="shared" si="1"/>
        <v>0</v>
      </c>
    </row>
    <row r="90" ht="15.0" hidden="1" customHeight="1">
      <c r="A90" s="15"/>
      <c r="B90" s="15" t="str">
        <f>'Identificación y Evaluación'!$A$49</f>
        <v>Definición del Cliente</v>
      </c>
      <c r="C90" s="15" t="str">
        <f>IF('Identificación y Evaluación'!H90="SI",'Identificación y Evaluación'!A90,"")</f>
        <v/>
      </c>
      <c r="D90" s="15">
        <f>'Identificación y Evaluación'!$G$91</f>
        <v>5</v>
      </c>
      <c r="E90" s="75"/>
      <c r="F90" s="76">
        <f t="shared" si="1"/>
        <v>0</v>
      </c>
    </row>
    <row r="91" ht="15.0" hidden="1" customHeight="1">
      <c r="A91" s="15"/>
      <c r="B91" s="15" t="str">
        <f>'Identificación y Evaluación'!$A$49</f>
        <v>Definición del Cliente</v>
      </c>
      <c r="C91" s="15" t="str">
        <f>IF('Identificación y Evaluación'!H91="SI",'Identificación y Evaluación'!A91,"")</f>
        <v/>
      </c>
      <c r="D91" s="15">
        <f>'Identificación y Evaluación'!$G$91</f>
        <v>5</v>
      </c>
      <c r="E91" s="75"/>
      <c r="F91" s="76">
        <f t="shared" si="1"/>
        <v>0</v>
      </c>
    </row>
    <row r="92" ht="15.0" hidden="1" customHeight="1">
      <c r="A92" s="15"/>
      <c r="B92" s="15" t="str">
        <f>'Identificación y Evaluación'!$A$49</f>
        <v>Definición del Cliente</v>
      </c>
      <c r="C92" s="15" t="str">
        <f>IF('Identificación y Evaluación'!H92="SI",'Identificación y Evaluación'!A92,"")</f>
        <v/>
      </c>
      <c r="D92" s="15">
        <f>'Identificación y Evaluación'!$G$91</f>
        <v>5</v>
      </c>
      <c r="E92" s="75"/>
      <c r="F92" s="76">
        <f t="shared" si="1"/>
        <v>0</v>
      </c>
    </row>
    <row r="93" ht="15.0" hidden="1" customHeight="1">
      <c r="A93" s="15"/>
      <c r="B93" s="15" t="str">
        <f>'Identificación y Evaluación'!$A$49</f>
        <v>Definición del Cliente</v>
      </c>
      <c r="C93" s="15" t="str">
        <f>IF('Identificación y Evaluación'!H93="SI",'Identificación y Evaluación'!A93,"")</f>
        <v/>
      </c>
      <c r="D93" s="15">
        <f>'Identificación y Evaluación'!$G$91</f>
        <v>5</v>
      </c>
      <c r="E93" s="75"/>
      <c r="F93" s="76">
        <f t="shared" si="1"/>
        <v>0</v>
      </c>
    </row>
    <row r="94" ht="15.0" hidden="1" customHeight="1">
      <c r="A94" s="15"/>
      <c r="B94" s="15" t="str">
        <f>'Identificación y Evaluación'!$A$49</f>
        <v>Definición del Cliente</v>
      </c>
      <c r="C94" s="15" t="str">
        <f>IF('Identificación y Evaluación'!H94="SI",'Identificación y Evaluación'!A94,"")</f>
        <v/>
      </c>
      <c r="D94" s="15">
        <f>'Identificación y Evaluación'!$G$91</f>
        <v>5</v>
      </c>
      <c r="E94" s="75"/>
      <c r="F94" s="76">
        <f t="shared" si="1"/>
        <v>0</v>
      </c>
    </row>
    <row r="95" ht="15.0" hidden="1" customHeight="1">
      <c r="A95" s="15"/>
      <c r="B95" s="15" t="str">
        <f>'Identificación y Evaluación'!$A$49</f>
        <v>Definición del Cliente</v>
      </c>
      <c r="C95" s="15" t="str">
        <f>IF('Identificación y Evaluación'!H95="SI",'Identificación y Evaluación'!A95,"")</f>
        <v/>
      </c>
      <c r="D95" s="15">
        <f>'Identificación y Evaluación'!$G$91</f>
        <v>5</v>
      </c>
      <c r="E95" s="75"/>
      <c r="F95" s="76">
        <f t="shared" si="1"/>
        <v>0</v>
      </c>
    </row>
    <row r="96" ht="15.0" hidden="1" customHeight="1">
      <c r="A96" s="15"/>
      <c r="B96" s="15" t="str">
        <f>'Identificación y Evaluación'!$A$49</f>
        <v>Definición del Cliente</v>
      </c>
      <c r="C96" s="15" t="str">
        <f>IF('Identificación y Evaluación'!H96="SI",'Identificación y Evaluación'!A96,"")</f>
        <v/>
      </c>
      <c r="D96" s="15">
        <f>'Identificación y Evaluación'!$G$91</f>
        <v>5</v>
      </c>
      <c r="E96" s="75"/>
      <c r="F96" s="76">
        <f t="shared" si="1"/>
        <v>0</v>
      </c>
    </row>
    <row r="97" ht="15.0" hidden="1" customHeight="1">
      <c r="A97" s="15"/>
      <c r="B97" s="15" t="str">
        <f>'Identificación y Evaluación'!$A$97</f>
        <v>Cronograma</v>
      </c>
      <c r="C97" s="15" t="str">
        <f>IF('Identificación y Evaluación'!H97="SI",'Identificación y Evaluación'!A97,"")</f>
        <v/>
      </c>
      <c r="D97" s="15">
        <f>'Identificación y Evaluación'!$G$139</f>
        <v>2</v>
      </c>
      <c r="E97" s="75"/>
      <c r="F97" s="76">
        <f t="shared" si="1"/>
        <v>0</v>
      </c>
    </row>
    <row r="98" ht="15.75" customHeight="1">
      <c r="A98" s="15"/>
      <c r="B98" s="15" t="str">
        <f>'Identificación y Evaluación'!$A$97</f>
        <v>Cronograma</v>
      </c>
      <c r="C98" s="15" t="str">
        <f>IF('Identificación y Evaluación'!H98="SI",'Identificación y Evaluación'!A98,"")</f>
        <v>Dada la posible ausencia de algún integrante del grupo, podría ocurrir que ciertas tareas queden sin responsable, lo que conduciría a sobrecarga de trabajo para el resto del equipo y retrasos en entregas.</v>
      </c>
      <c r="D98" s="15">
        <f>'Identificación y Evaluación'!$G$139</f>
        <v>2</v>
      </c>
      <c r="E98" s="77">
        <v>0.65</v>
      </c>
      <c r="F98" s="76">
        <f t="shared" si="1"/>
        <v>130</v>
      </c>
    </row>
    <row r="99" ht="15.75" hidden="1" customHeight="1">
      <c r="A99" s="15"/>
      <c r="B99" s="15" t="str">
        <f>'Identificación y Evaluación'!$A$97</f>
        <v>Cronograma</v>
      </c>
      <c r="C99" s="15" t="str">
        <f>IF('Identificación y Evaluación'!H99="SI",'Identificación y Evaluación'!A99,"")</f>
        <v/>
      </c>
      <c r="D99" s="15">
        <f>'Identificación y Evaluación'!$G$139</f>
        <v>2</v>
      </c>
      <c r="E99" s="75"/>
      <c r="F99" s="76">
        <f t="shared" si="1"/>
        <v>0</v>
      </c>
    </row>
    <row r="100" ht="15.75" hidden="1" customHeight="1">
      <c r="A100" s="15"/>
      <c r="B100" s="15" t="str">
        <f>'Identificación y Evaluación'!$A$97</f>
        <v>Cronograma</v>
      </c>
      <c r="C100" s="15" t="str">
        <f>IF('Identificación y Evaluación'!H100="SI",'Identificación y Evaluación'!A100,"")</f>
        <v/>
      </c>
      <c r="D100" s="15">
        <f>'Identificación y Evaluación'!$G$139</f>
        <v>2</v>
      </c>
      <c r="E100" s="75"/>
      <c r="F100" s="76">
        <f t="shared" si="1"/>
        <v>0</v>
      </c>
    </row>
    <row r="101" ht="15.0" hidden="1" customHeight="1">
      <c r="A101" s="15"/>
      <c r="B101" s="15" t="str">
        <f>'Identificación y Evaluación'!$A$97</f>
        <v>Cronograma</v>
      </c>
      <c r="C101" s="15" t="str">
        <f>IF('Identificación y Evaluación'!H101="SI",'Identificación y Evaluación'!A101,"")</f>
        <v/>
      </c>
      <c r="D101" s="15">
        <f>'Identificación y Evaluación'!$G$139</f>
        <v>2</v>
      </c>
      <c r="E101" s="75"/>
      <c r="F101" s="76">
        <f t="shared" si="1"/>
        <v>0</v>
      </c>
    </row>
    <row r="102" ht="15.0" hidden="1" customHeight="1">
      <c r="A102" s="15"/>
      <c r="B102" s="15" t="str">
        <f>'Identificación y Evaluación'!$A$97</f>
        <v>Cronograma</v>
      </c>
      <c r="C102" s="15" t="str">
        <f>IF('Identificación y Evaluación'!H102="SI",'Identificación y Evaluación'!A102,"")</f>
        <v/>
      </c>
      <c r="D102" s="15">
        <f>'Identificación y Evaluación'!$G$139</f>
        <v>2</v>
      </c>
      <c r="E102" s="75"/>
      <c r="F102" s="76">
        <f t="shared" si="1"/>
        <v>0</v>
      </c>
    </row>
    <row r="103" ht="15.0" hidden="1" customHeight="1">
      <c r="A103" s="15"/>
      <c r="B103" s="15" t="str">
        <f>'Identificación y Evaluación'!$A$97</f>
        <v>Cronograma</v>
      </c>
      <c r="C103" s="15" t="str">
        <f>IF('Identificación y Evaluación'!H103="SI",'Identificación y Evaluación'!A103,"")</f>
        <v/>
      </c>
      <c r="D103" s="15">
        <f>'Identificación y Evaluación'!$G$139</f>
        <v>2</v>
      </c>
      <c r="E103" s="75"/>
      <c r="F103" s="76">
        <f t="shared" si="1"/>
        <v>0</v>
      </c>
    </row>
    <row r="104" ht="15.0" hidden="1" customHeight="1">
      <c r="A104" s="15"/>
      <c r="B104" s="15" t="str">
        <f>'Identificación y Evaluación'!$A$97</f>
        <v>Cronograma</v>
      </c>
      <c r="C104" s="15" t="str">
        <f>IF('Identificación y Evaluación'!H104="SI",'Identificación y Evaluación'!A104,"")</f>
        <v/>
      </c>
      <c r="D104" s="15">
        <f>'Identificación y Evaluación'!$G$139</f>
        <v>2</v>
      </c>
      <c r="E104" s="75"/>
      <c r="F104" s="76">
        <f t="shared" si="1"/>
        <v>0</v>
      </c>
    </row>
    <row r="105" ht="15.0" hidden="1" customHeight="1">
      <c r="A105" s="15"/>
      <c r="B105" s="15" t="str">
        <f>'Identificación y Evaluación'!$A$97</f>
        <v>Cronograma</v>
      </c>
      <c r="C105" s="15" t="str">
        <f>IF('Identificación y Evaluación'!H105="SI",'Identificación y Evaluación'!A105,"")</f>
        <v/>
      </c>
      <c r="D105" s="15">
        <f>'Identificación y Evaluación'!$G$139</f>
        <v>2</v>
      </c>
      <c r="E105" s="75"/>
      <c r="F105" s="76">
        <f t="shared" si="1"/>
        <v>0</v>
      </c>
    </row>
    <row r="106" ht="15.0" hidden="1" customHeight="1">
      <c r="A106" s="15"/>
      <c r="B106" s="15" t="str">
        <f>'Identificación y Evaluación'!$A$97</f>
        <v>Cronograma</v>
      </c>
      <c r="C106" s="15" t="str">
        <f>IF('Identificación y Evaluación'!H106="SI",'Identificación y Evaluación'!A106,"")</f>
        <v/>
      </c>
      <c r="D106" s="15">
        <f>'Identificación y Evaluación'!$G$139</f>
        <v>2</v>
      </c>
      <c r="E106" s="75"/>
      <c r="F106" s="76">
        <f t="shared" si="1"/>
        <v>0</v>
      </c>
    </row>
    <row r="107" ht="15.0" hidden="1" customHeight="1">
      <c r="A107" s="15"/>
      <c r="B107" s="15" t="str">
        <f>'Identificación y Evaluación'!$A$97</f>
        <v>Cronograma</v>
      </c>
      <c r="C107" s="15" t="str">
        <f>IF('Identificación y Evaluación'!H107="SI",'Identificación y Evaluación'!A107,"")</f>
        <v/>
      </c>
      <c r="D107" s="15">
        <f>'Identificación y Evaluación'!$G$139</f>
        <v>2</v>
      </c>
      <c r="E107" s="75"/>
      <c r="F107" s="76">
        <f t="shared" si="1"/>
        <v>0</v>
      </c>
    </row>
    <row r="108" ht="15.0" hidden="1" customHeight="1">
      <c r="A108" s="15"/>
      <c r="B108" s="15" t="str">
        <f>'Identificación y Evaluación'!$A$97</f>
        <v>Cronograma</v>
      </c>
      <c r="C108" s="15" t="str">
        <f>IF('Identificación y Evaluación'!H108="SI",'Identificación y Evaluación'!A108,"")</f>
        <v/>
      </c>
      <c r="D108" s="15">
        <f>'Identificación y Evaluación'!$G$139</f>
        <v>2</v>
      </c>
      <c r="E108" s="75"/>
      <c r="F108" s="76">
        <f t="shared" si="1"/>
        <v>0</v>
      </c>
    </row>
    <row r="109" ht="15.0" hidden="1" customHeight="1">
      <c r="A109" s="15"/>
      <c r="B109" s="15" t="str">
        <f>'Identificación y Evaluación'!$A$97</f>
        <v>Cronograma</v>
      </c>
      <c r="C109" s="15" t="str">
        <f>IF('Identificación y Evaluación'!H109="SI",'Identificación y Evaluación'!A109,"")</f>
        <v/>
      </c>
      <c r="D109" s="15">
        <f>'Identificación y Evaluación'!$G$139</f>
        <v>2</v>
      </c>
      <c r="E109" s="75"/>
      <c r="F109" s="76">
        <f t="shared" si="1"/>
        <v>0</v>
      </c>
    </row>
    <row r="110" ht="15.0" hidden="1" customHeight="1">
      <c r="A110" s="15"/>
      <c r="B110" s="15" t="str">
        <f>'Identificación y Evaluación'!$A$97</f>
        <v>Cronograma</v>
      </c>
      <c r="C110" s="15" t="str">
        <f>IF('Identificación y Evaluación'!H110="SI",'Identificación y Evaluación'!A110,"")</f>
        <v/>
      </c>
      <c r="D110" s="15">
        <f>'Identificación y Evaluación'!$G$139</f>
        <v>2</v>
      </c>
      <c r="E110" s="75"/>
      <c r="F110" s="76">
        <f t="shared" si="1"/>
        <v>0</v>
      </c>
    </row>
    <row r="111" ht="15.0" hidden="1" customHeight="1">
      <c r="A111" s="15"/>
      <c r="B111" s="15" t="str">
        <f>'Identificación y Evaluación'!$A$97</f>
        <v>Cronograma</v>
      </c>
      <c r="C111" s="15" t="str">
        <f>IF('Identificación y Evaluación'!H111="SI",'Identificación y Evaluación'!A111,"")</f>
        <v/>
      </c>
      <c r="D111" s="15">
        <f>'Identificación y Evaluación'!$G$139</f>
        <v>2</v>
      </c>
      <c r="E111" s="75"/>
      <c r="F111" s="76">
        <f t="shared" si="1"/>
        <v>0</v>
      </c>
    </row>
    <row r="112" ht="15.0" hidden="1" customHeight="1">
      <c r="A112" s="15"/>
      <c r="B112" s="15" t="str">
        <f>'Identificación y Evaluación'!$A$97</f>
        <v>Cronograma</v>
      </c>
      <c r="C112" s="15" t="str">
        <f>IF('Identificación y Evaluación'!H112="SI",'Identificación y Evaluación'!A112,"")</f>
        <v/>
      </c>
      <c r="D112" s="15">
        <f>'Identificación y Evaluación'!$G$139</f>
        <v>2</v>
      </c>
      <c r="E112" s="75"/>
      <c r="F112" s="76">
        <f t="shared" si="1"/>
        <v>0</v>
      </c>
    </row>
    <row r="113" ht="15.0" hidden="1" customHeight="1">
      <c r="A113" s="15"/>
      <c r="B113" s="15" t="str">
        <f>'Identificación y Evaluación'!$A$97</f>
        <v>Cronograma</v>
      </c>
      <c r="C113" s="15" t="str">
        <f>IF('Identificación y Evaluación'!H113="SI",'Identificación y Evaluación'!A113,"")</f>
        <v/>
      </c>
      <c r="D113" s="15">
        <f>'Identificación y Evaluación'!$G$139</f>
        <v>2</v>
      </c>
      <c r="E113" s="75"/>
      <c r="F113" s="76">
        <f t="shared" si="1"/>
        <v>0</v>
      </c>
    </row>
    <row r="114" ht="15.0" hidden="1" customHeight="1">
      <c r="A114" s="15"/>
      <c r="B114" s="15" t="str">
        <f>'Identificación y Evaluación'!$A$97</f>
        <v>Cronograma</v>
      </c>
      <c r="C114" s="15" t="str">
        <f>IF('Identificación y Evaluación'!H114="SI",'Identificación y Evaluación'!A114,"")</f>
        <v/>
      </c>
      <c r="D114" s="15">
        <f>'Identificación y Evaluación'!$G$139</f>
        <v>2</v>
      </c>
      <c r="E114" s="75"/>
      <c r="F114" s="76">
        <f t="shared" si="1"/>
        <v>0</v>
      </c>
    </row>
    <row r="115" ht="15.0" hidden="1" customHeight="1">
      <c r="A115" s="15"/>
      <c r="B115" s="15" t="str">
        <f>'Identificación y Evaluación'!$A$97</f>
        <v>Cronograma</v>
      </c>
      <c r="C115" s="15" t="str">
        <f>IF('Identificación y Evaluación'!H115="SI",'Identificación y Evaluación'!A115,"")</f>
        <v/>
      </c>
      <c r="D115" s="15">
        <f>'Identificación y Evaluación'!$G$139</f>
        <v>2</v>
      </c>
      <c r="E115" s="75"/>
      <c r="F115" s="76">
        <f t="shared" si="1"/>
        <v>0</v>
      </c>
    </row>
    <row r="116" ht="15.0" hidden="1" customHeight="1">
      <c r="A116" s="15"/>
      <c r="B116" s="15" t="str">
        <f>'Identificación y Evaluación'!$A$97</f>
        <v>Cronograma</v>
      </c>
      <c r="C116" s="15" t="str">
        <f>IF('Identificación y Evaluación'!H116="SI",'Identificación y Evaluación'!A116,"")</f>
        <v/>
      </c>
      <c r="D116" s="15">
        <f>'Identificación y Evaluación'!$G$139</f>
        <v>2</v>
      </c>
      <c r="E116" s="75"/>
      <c r="F116" s="76">
        <f t="shared" si="1"/>
        <v>0</v>
      </c>
    </row>
    <row r="117" ht="15.0" hidden="1" customHeight="1">
      <c r="A117" s="15"/>
      <c r="B117" s="15" t="str">
        <f>'Identificación y Evaluación'!$A$97</f>
        <v>Cronograma</v>
      </c>
      <c r="C117" s="15" t="str">
        <f>IF('Identificación y Evaluación'!H117="SI",'Identificación y Evaluación'!A117,"")</f>
        <v/>
      </c>
      <c r="D117" s="15">
        <f>'Identificación y Evaluación'!$G$139</f>
        <v>2</v>
      </c>
      <c r="E117" s="75"/>
      <c r="F117" s="76">
        <f t="shared" si="1"/>
        <v>0</v>
      </c>
    </row>
    <row r="118" ht="15.0" hidden="1" customHeight="1">
      <c r="A118" s="15"/>
      <c r="B118" s="15" t="str">
        <f>'Identificación y Evaluación'!$A$97</f>
        <v>Cronograma</v>
      </c>
      <c r="C118" s="15" t="str">
        <f>IF('Identificación y Evaluación'!H118="SI",'Identificación y Evaluación'!A118,"")</f>
        <v/>
      </c>
      <c r="D118" s="15">
        <f>'Identificación y Evaluación'!$G$139</f>
        <v>2</v>
      </c>
      <c r="E118" s="75"/>
      <c r="F118" s="76">
        <f t="shared" si="1"/>
        <v>0</v>
      </c>
    </row>
    <row r="119" ht="15.0" hidden="1" customHeight="1">
      <c r="A119" s="15"/>
      <c r="B119" s="15" t="str">
        <f>'Identificación y Evaluación'!$A$97</f>
        <v>Cronograma</v>
      </c>
      <c r="C119" s="15" t="str">
        <f>IF('Identificación y Evaluación'!H119="SI",'Identificación y Evaluación'!A119,"")</f>
        <v/>
      </c>
      <c r="D119" s="15">
        <f>'Identificación y Evaluación'!$G$139</f>
        <v>2</v>
      </c>
      <c r="E119" s="75"/>
      <c r="F119" s="76">
        <f t="shared" si="1"/>
        <v>0</v>
      </c>
    </row>
    <row r="120" ht="15.0" hidden="1" customHeight="1">
      <c r="A120" s="15"/>
      <c r="B120" s="15" t="str">
        <f>'Identificación y Evaluación'!$A$97</f>
        <v>Cronograma</v>
      </c>
      <c r="C120" s="15" t="str">
        <f>IF('Identificación y Evaluación'!H120="SI",'Identificación y Evaluación'!A120,"")</f>
        <v/>
      </c>
      <c r="D120" s="15">
        <f>'Identificación y Evaluación'!$G$139</f>
        <v>2</v>
      </c>
      <c r="E120" s="75"/>
      <c r="F120" s="76">
        <f t="shared" si="1"/>
        <v>0</v>
      </c>
    </row>
    <row r="121" ht="15.0" hidden="1" customHeight="1">
      <c r="A121" s="15"/>
      <c r="B121" s="15" t="str">
        <f>'Identificación y Evaluación'!$A$97</f>
        <v>Cronograma</v>
      </c>
      <c r="C121" s="15" t="str">
        <f>IF('Identificación y Evaluación'!H121="SI",'Identificación y Evaluación'!A121,"")</f>
        <v/>
      </c>
      <c r="D121" s="15">
        <f>'Identificación y Evaluación'!$G$139</f>
        <v>2</v>
      </c>
      <c r="E121" s="75"/>
      <c r="F121" s="76">
        <f t="shared" si="1"/>
        <v>0</v>
      </c>
    </row>
    <row r="122" ht="15.0" hidden="1" customHeight="1">
      <c r="A122" s="15"/>
      <c r="B122" s="15" t="str">
        <f>'Identificación y Evaluación'!$A$97</f>
        <v>Cronograma</v>
      </c>
      <c r="C122" s="15" t="str">
        <f>IF('Identificación y Evaluación'!H122="SI",'Identificación y Evaluación'!A122,"")</f>
        <v/>
      </c>
      <c r="D122" s="15">
        <f>'Identificación y Evaluación'!$G$139</f>
        <v>2</v>
      </c>
      <c r="E122" s="75"/>
      <c r="F122" s="76">
        <f t="shared" si="1"/>
        <v>0</v>
      </c>
    </row>
    <row r="123" ht="15.0" hidden="1" customHeight="1">
      <c r="A123" s="15"/>
      <c r="B123" s="15" t="str">
        <f>'Identificación y Evaluación'!$A$97</f>
        <v>Cronograma</v>
      </c>
      <c r="C123" s="15" t="str">
        <f>IF('Identificación y Evaluación'!H123="SI",'Identificación y Evaluación'!A123,"")</f>
        <v/>
      </c>
      <c r="D123" s="15">
        <f>'Identificación y Evaluación'!$G$139</f>
        <v>2</v>
      </c>
      <c r="E123" s="75"/>
      <c r="F123" s="76">
        <f t="shared" si="1"/>
        <v>0</v>
      </c>
    </row>
    <row r="124" ht="15.0" hidden="1" customHeight="1">
      <c r="A124" s="15"/>
      <c r="B124" s="15" t="str">
        <f>'Identificación y Evaluación'!$A$97</f>
        <v>Cronograma</v>
      </c>
      <c r="C124" s="15" t="str">
        <f>IF('Identificación y Evaluación'!H124="SI",'Identificación y Evaluación'!A124,"")</f>
        <v/>
      </c>
      <c r="D124" s="15">
        <f>'Identificación y Evaluación'!$G$139</f>
        <v>2</v>
      </c>
      <c r="E124" s="75"/>
      <c r="F124" s="76">
        <f t="shared" si="1"/>
        <v>0</v>
      </c>
    </row>
    <row r="125" ht="15.0" hidden="1" customHeight="1">
      <c r="A125" s="15"/>
      <c r="B125" s="15" t="str">
        <f>'Identificación y Evaluación'!$A$97</f>
        <v>Cronograma</v>
      </c>
      <c r="C125" s="15" t="str">
        <f>IF('Identificación y Evaluación'!H125="SI",'Identificación y Evaluación'!A125,"")</f>
        <v/>
      </c>
      <c r="D125" s="15">
        <f>'Identificación y Evaluación'!$G$139</f>
        <v>2</v>
      </c>
      <c r="E125" s="75"/>
      <c r="F125" s="76">
        <f t="shared" si="1"/>
        <v>0</v>
      </c>
    </row>
    <row r="126" ht="15.0" hidden="1" customHeight="1">
      <c r="A126" s="15"/>
      <c r="B126" s="15" t="str">
        <f>'Identificación y Evaluación'!$A$97</f>
        <v>Cronograma</v>
      </c>
      <c r="C126" s="15" t="str">
        <f>IF('Identificación y Evaluación'!H126="SI",'Identificación y Evaluación'!A126,"")</f>
        <v/>
      </c>
      <c r="D126" s="15">
        <f>'Identificación y Evaluación'!$G$139</f>
        <v>2</v>
      </c>
      <c r="E126" s="75"/>
      <c r="F126" s="76">
        <f t="shared" si="1"/>
        <v>0</v>
      </c>
    </row>
    <row r="127" ht="15.0" hidden="1" customHeight="1">
      <c r="A127" s="15"/>
      <c r="B127" s="15" t="str">
        <f>'Identificación y Evaluación'!$A$97</f>
        <v>Cronograma</v>
      </c>
      <c r="C127" s="15" t="str">
        <f>IF('Identificación y Evaluación'!H127="SI",'Identificación y Evaluación'!A127,"")</f>
        <v/>
      </c>
      <c r="D127" s="15">
        <f>'Identificación y Evaluación'!$G$139</f>
        <v>2</v>
      </c>
      <c r="E127" s="75"/>
      <c r="F127" s="76">
        <f t="shared" si="1"/>
        <v>0</v>
      </c>
    </row>
    <row r="128" ht="15.0" hidden="1" customHeight="1">
      <c r="A128" s="15"/>
      <c r="B128" s="15" t="str">
        <f>'Identificación y Evaluación'!$A$97</f>
        <v>Cronograma</v>
      </c>
      <c r="C128" s="15" t="str">
        <f>IF('Identificación y Evaluación'!H128="SI",'Identificación y Evaluación'!A128,"")</f>
        <v/>
      </c>
      <c r="D128" s="15">
        <f>'Identificación y Evaluación'!$G$139</f>
        <v>2</v>
      </c>
      <c r="E128" s="75"/>
      <c r="F128" s="76">
        <f t="shared" si="1"/>
        <v>0</v>
      </c>
    </row>
    <row r="129" ht="15.0" hidden="1" customHeight="1">
      <c r="A129" s="15"/>
      <c r="B129" s="15" t="str">
        <f>'Identificación y Evaluación'!$A$97</f>
        <v>Cronograma</v>
      </c>
      <c r="C129" s="15" t="str">
        <f>IF('Identificación y Evaluación'!H129="SI",'Identificación y Evaluación'!A129,"")</f>
        <v/>
      </c>
      <c r="D129" s="15">
        <f>'Identificación y Evaluación'!$G$139</f>
        <v>2</v>
      </c>
      <c r="E129" s="75"/>
      <c r="F129" s="76">
        <f t="shared" si="1"/>
        <v>0</v>
      </c>
    </row>
    <row r="130" ht="15.0" hidden="1" customHeight="1">
      <c r="A130" s="15"/>
      <c r="B130" s="15" t="str">
        <f>'Identificación y Evaluación'!$A$97</f>
        <v>Cronograma</v>
      </c>
      <c r="C130" s="15" t="str">
        <f>IF('Identificación y Evaluación'!H130="SI",'Identificación y Evaluación'!A130,"")</f>
        <v/>
      </c>
      <c r="D130" s="15">
        <f>'Identificación y Evaluación'!$G$139</f>
        <v>2</v>
      </c>
      <c r="E130" s="75"/>
      <c r="F130" s="76">
        <f t="shared" si="1"/>
        <v>0</v>
      </c>
    </row>
    <row r="131" ht="15.0" hidden="1" customHeight="1">
      <c r="A131" s="15"/>
      <c r="B131" s="15" t="str">
        <f>'Identificación y Evaluación'!$A$97</f>
        <v>Cronograma</v>
      </c>
      <c r="C131" s="15" t="str">
        <f>IF('Identificación y Evaluación'!H131="SI",'Identificación y Evaluación'!A131,"")</f>
        <v/>
      </c>
      <c r="D131" s="15">
        <f>'Identificación y Evaluación'!$G$139</f>
        <v>2</v>
      </c>
      <c r="E131" s="75"/>
      <c r="F131" s="76">
        <f t="shared" si="1"/>
        <v>0</v>
      </c>
    </row>
    <row r="132" ht="15.0" hidden="1" customHeight="1">
      <c r="A132" s="15"/>
      <c r="B132" s="15" t="str">
        <f>'Identificación y Evaluación'!$A$97</f>
        <v>Cronograma</v>
      </c>
      <c r="C132" s="15" t="str">
        <f>IF('Identificación y Evaluación'!H132="SI",'Identificación y Evaluación'!A132,"")</f>
        <v/>
      </c>
      <c r="D132" s="15">
        <f>'Identificación y Evaluación'!$G$139</f>
        <v>2</v>
      </c>
      <c r="E132" s="75"/>
      <c r="F132" s="76">
        <f t="shared" si="1"/>
        <v>0</v>
      </c>
    </row>
    <row r="133" ht="15.0" hidden="1" customHeight="1">
      <c r="A133" s="15"/>
      <c r="B133" s="15" t="str">
        <f>'Identificación y Evaluación'!$A$97</f>
        <v>Cronograma</v>
      </c>
      <c r="C133" s="15" t="str">
        <f>IF('Identificación y Evaluación'!H133="SI",'Identificación y Evaluación'!A133,"")</f>
        <v/>
      </c>
      <c r="D133" s="15">
        <f>'Identificación y Evaluación'!$G$139</f>
        <v>2</v>
      </c>
      <c r="E133" s="75"/>
      <c r="F133" s="76">
        <f t="shared" si="1"/>
        <v>0</v>
      </c>
    </row>
    <row r="134" ht="15.0" hidden="1" customHeight="1">
      <c r="A134" s="15"/>
      <c r="B134" s="15" t="str">
        <f>'Identificación y Evaluación'!$A$97</f>
        <v>Cronograma</v>
      </c>
      <c r="C134" s="15" t="str">
        <f>IF('Identificación y Evaluación'!H134="SI",'Identificación y Evaluación'!A134,"")</f>
        <v/>
      </c>
      <c r="D134" s="15">
        <f>'Identificación y Evaluación'!$G$139</f>
        <v>2</v>
      </c>
      <c r="E134" s="75"/>
      <c r="F134" s="76">
        <f t="shared" si="1"/>
        <v>0</v>
      </c>
    </row>
    <row r="135" ht="15.0" hidden="1" customHeight="1">
      <c r="A135" s="15"/>
      <c r="B135" s="15" t="str">
        <f>'Identificación y Evaluación'!$A$97</f>
        <v>Cronograma</v>
      </c>
      <c r="C135" s="15" t="str">
        <f>IF('Identificación y Evaluación'!H135="SI",'Identificación y Evaluación'!A135,"")</f>
        <v/>
      </c>
      <c r="D135" s="15">
        <f>'Identificación y Evaluación'!$G$139</f>
        <v>2</v>
      </c>
      <c r="E135" s="75"/>
      <c r="F135" s="76">
        <f t="shared" si="1"/>
        <v>0</v>
      </c>
    </row>
    <row r="136" ht="15.0" hidden="1" customHeight="1">
      <c r="A136" s="15"/>
      <c r="B136" s="15" t="str">
        <f>'Identificación y Evaluación'!$A$97</f>
        <v>Cronograma</v>
      </c>
      <c r="C136" s="15" t="str">
        <f>IF('Identificación y Evaluación'!H136="SI",'Identificación y Evaluación'!A136,"")</f>
        <v/>
      </c>
      <c r="D136" s="15">
        <f>'Identificación y Evaluación'!$G$139</f>
        <v>2</v>
      </c>
      <c r="E136" s="75"/>
      <c r="F136" s="76">
        <f t="shared" si="1"/>
        <v>0</v>
      </c>
    </row>
    <row r="137" ht="15.0" hidden="1" customHeight="1">
      <c r="A137" s="15"/>
      <c r="B137" s="15" t="str">
        <f>'Identificación y Evaluación'!$A$97</f>
        <v>Cronograma</v>
      </c>
      <c r="C137" s="15" t="str">
        <f>IF('Identificación y Evaluación'!H137="SI",'Identificación y Evaluación'!A137,"")</f>
        <v/>
      </c>
      <c r="D137" s="15">
        <f>'Identificación y Evaluación'!$G$139</f>
        <v>2</v>
      </c>
      <c r="E137" s="75"/>
      <c r="F137" s="76">
        <f t="shared" si="1"/>
        <v>0</v>
      </c>
    </row>
    <row r="138" ht="15.0" hidden="1" customHeight="1">
      <c r="A138" s="15"/>
      <c r="B138" s="15" t="str">
        <f>'Identificación y Evaluación'!$A$97</f>
        <v>Cronograma</v>
      </c>
      <c r="C138" s="15" t="str">
        <f>IF('Identificación y Evaluación'!H138="SI",'Identificación y Evaluación'!A138,"")</f>
        <v/>
      </c>
      <c r="D138" s="15">
        <f>'Identificación y Evaluación'!$G$139</f>
        <v>2</v>
      </c>
      <c r="E138" s="75"/>
      <c r="F138" s="76">
        <f t="shared" si="1"/>
        <v>0</v>
      </c>
    </row>
    <row r="139" ht="15.0" hidden="1" customHeight="1">
      <c r="A139" s="15"/>
      <c r="B139" s="15" t="str">
        <f>'Identificación y Evaluación'!$A$97</f>
        <v>Cronograma</v>
      </c>
      <c r="C139" s="15" t="str">
        <f>IF('Identificación y Evaluación'!H139="SI",'Identificación y Evaluación'!A139,"")</f>
        <v/>
      </c>
      <c r="D139" s="15">
        <f>'Identificación y Evaluación'!$G$139</f>
        <v>2</v>
      </c>
      <c r="E139" s="75"/>
      <c r="F139" s="76">
        <f t="shared" si="1"/>
        <v>0</v>
      </c>
    </row>
    <row r="140" ht="15.0" hidden="1" customHeight="1">
      <c r="A140" s="15"/>
      <c r="B140" s="15" t="str">
        <f>'Identificación y Evaluación'!$A$97</f>
        <v>Cronograma</v>
      </c>
      <c r="C140" s="15" t="str">
        <f>IF('Identificación y Evaluación'!H140="SI",'Identificación y Evaluación'!A140,"")</f>
        <v/>
      </c>
      <c r="D140" s="15">
        <f>'Identificación y Evaluación'!$G$139</f>
        <v>2</v>
      </c>
      <c r="E140" s="75"/>
      <c r="F140" s="76">
        <f t="shared" si="1"/>
        <v>0</v>
      </c>
    </row>
    <row r="141" ht="15.0" hidden="1" customHeight="1">
      <c r="A141" s="15"/>
      <c r="B141" s="15" t="str">
        <f>'Identificación y Evaluación'!$A$97</f>
        <v>Cronograma</v>
      </c>
      <c r="C141" s="15" t="str">
        <f>IF('Identificación y Evaluación'!H141="SI",'Identificación y Evaluación'!A141,"")</f>
        <v/>
      </c>
      <c r="D141" s="15">
        <f>'Identificación y Evaluación'!$G$139</f>
        <v>2</v>
      </c>
      <c r="E141" s="75"/>
      <c r="F141" s="76">
        <f t="shared" si="1"/>
        <v>0</v>
      </c>
    </row>
    <row r="142" ht="15.0" hidden="1" customHeight="1">
      <c r="A142" s="15"/>
      <c r="B142" s="15" t="str">
        <f>'Identificación y Evaluación'!$A$97</f>
        <v>Cronograma</v>
      </c>
      <c r="C142" s="15" t="str">
        <f>IF('Identificación y Evaluación'!H142="SI",'Identificación y Evaluación'!A142,"")</f>
        <v/>
      </c>
      <c r="D142" s="15">
        <f>'Identificación y Evaluación'!$G$139</f>
        <v>2</v>
      </c>
      <c r="E142" s="75"/>
      <c r="F142" s="76">
        <f t="shared" si="1"/>
        <v>0</v>
      </c>
    </row>
    <row r="143" ht="15.0" hidden="1" customHeight="1">
      <c r="A143" s="15"/>
      <c r="B143" s="15" t="str">
        <f>'Identificación y Evaluación'!$A$97</f>
        <v>Cronograma</v>
      </c>
      <c r="C143" s="15" t="str">
        <f>IF('Identificación y Evaluación'!H143="SI",'Identificación y Evaluación'!A143,"")</f>
        <v/>
      </c>
      <c r="D143" s="15">
        <f>'Identificación y Evaluación'!$G$139</f>
        <v>2</v>
      </c>
      <c r="E143" s="75"/>
      <c r="F143" s="76">
        <f t="shared" si="1"/>
        <v>0</v>
      </c>
    </row>
    <row r="144" ht="15.0" hidden="1" customHeight="1">
      <c r="A144" s="15"/>
      <c r="B144" s="15" t="str">
        <f>'Identificación y Evaluación'!$A$97</f>
        <v>Cronograma</v>
      </c>
      <c r="C144" s="15" t="str">
        <f>IF('Identificación y Evaluación'!H144="SI",'Identificación y Evaluación'!A144,"")</f>
        <v/>
      </c>
      <c r="D144" s="15">
        <f>'Identificación y Evaluación'!$G$139</f>
        <v>2</v>
      </c>
      <c r="E144" s="75"/>
      <c r="F144" s="76">
        <f t="shared" si="1"/>
        <v>0</v>
      </c>
    </row>
    <row r="145" ht="15.0" hidden="1" customHeight="1">
      <c r="A145" s="15"/>
      <c r="B145" s="15" t="str">
        <f>'Identificación y Evaluación'!$A$145</f>
        <v>Experiencia y Capacidad</v>
      </c>
      <c r="C145" s="15" t="str">
        <f>IF('Identificación y Evaluación'!H145="SI",'Identificación y Evaluación'!A145,"")</f>
        <v/>
      </c>
      <c r="D145" s="15">
        <f>'Identificación y Evaluación'!$G$187</f>
        <v>4</v>
      </c>
      <c r="E145" s="75"/>
      <c r="F145" s="76">
        <f t="shared" si="1"/>
        <v>0</v>
      </c>
    </row>
    <row r="146" ht="15.75" hidden="1" customHeight="1">
      <c r="A146" s="15"/>
      <c r="B146" s="15" t="str">
        <f>'Identificación y Evaluación'!$A$145</f>
        <v>Experiencia y Capacidad</v>
      </c>
      <c r="C146" s="15" t="str">
        <f>IF('Identificación y Evaluación'!H146="SI",'Identificación y Evaluación'!A146,"")</f>
        <v/>
      </c>
      <c r="D146" s="15">
        <f>'Identificación y Evaluación'!$G$187</f>
        <v>4</v>
      </c>
      <c r="E146" s="75"/>
      <c r="F146" s="76">
        <f t="shared" si="1"/>
        <v>0</v>
      </c>
    </row>
    <row r="147" ht="15.0" hidden="1" customHeight="1">
      <c r="A147" s="15"/>
      <c r="B147" s="15" t="str">
        <f>'Identificación y Evaluación'!$A$145</f>
        <v>Experiencia y Capacidad</v>
      </c>
      <c r="C147" s="15" t="str">
        <f>IF('Identificación y Evaluación'!H147="SI",#REF!,"")</f>
        <v/>
      </c>
      <c r="D147" s="15">
        <f>'Identificación y Evaluación'!$G$187</f>
        <v>4</v>
      </c>
      <c r="E147" s="75"/>
      <c r="F147" s="76">
        <f t="shared" si="1"/>
        <v>0</v>
      </c>
    </row>
    <row r="148" ht="15.0" hidden="1" customHeight="1">
      <c r="A148" s="15"/>
      <c r="B148" s="15" t="str">
        <f>'Identificación y Evaluación'!$A$145</f>
        <v>Experiencia y Capacidad</v>
      </c>
      <c r="C148" s="15" t="str">
        <f>IF('Identificación y Evaluación'!H148="SI",'Identificación y Evaluación'!A147,"")</f>
        <v/>
      </c>
      <c r="D148" s="15">
        <f>'Identificación y Evaluación'!$G$187</f>
        <v>4</v>
      </c>
      <c r="E148" s="75"/>
      <c r="F148" s="76">
        <f t="shared" si="1"/>
        <v>0</v>
      </c>
    </row>
    <row r="149" ht="15.0" hidden="1" customHeight="1">
      <c r="A149" s="15"/>
      <c r="B149" s="15" t="str">
        <f>'Identificación y Evaluación'!$A$145</f>
        <v>Experiencia y Capacidad</v>
      </c>
      <c r="C149" s="15" t="str">
        <f>IF('Identificación y Evaluación'!H149="SI",'Identificación y Evaluación'!A149,"")</f>
        <v/>
      </c>
      <c r="D149" s="15">
        <f>'Identificación y Evaluación'!$G$187</f>
        <v>4</v>
      </c>
      <c r="E149" s="75"/>
      <c r="F149" s="76">
        <f t="shared" si="1"/>
        <v>0</v>
      </c>
    </row>
    <row r="150" ht="15.0" hidden="1" customHeight="1">
      <c r="A150" s="15"/>
      <c r="B150" s="15" t="str">
        <f>'Identificación y Evaluación'!$A$145</f>
        <v>Experiencia y Capacidad</v>
      </c>
      <c r="C150" s="15" t="str">
        <f>IF('Identificación y Evaluación'!H150="SI",'Identificación y Evaluación'!A150,"")</f>
        <v/>
      </c>
      <c r="D150" s="15">
        <f>'Identificación y Evaluación'!$G$187</f>
        <v>4</v>
      </c>
      <c r="E150" s="75"/>
      <c r="F150" s="76">
        <f t="shared" si="1"/>
        <v>0</v>
      </c>
    </row>
    <row r="151" ht="15.0" hidden="1" customHeight="1">
      <c r="A151" s="15"/>
      <c r="B151" s="15" t="str">
        <f>'Identificación y Evaluación'!$A$145</f>
        <v>Experiencia y Capacidad</v>
      </c>
      <c r="C151" s="15" t="str">
        <f>IF('Identificación y Evaluación'!H151="SI",'Identificación y Evaluación'!A151,"")</f>
        <v/>
      </c>
      <c r="D151" s="15">
        <f>'Identificación y Evaluación'!$G$187</f>
        <v>4</v>
      </c>
      <c r="E151" s="75"/>
      <c r="F151" s="76">
        <f t="shared" si="1"/>
        <v>0</v>
      </c>
    </row>
    <row r="152" ht="15.0" hidden="1" customHeight="1">
      <c r="A152" s="15"/>
      <c r="B152" s="15" t="str">
        <f>'Identificación y Evaluación'!$A$145</f>
        <v>Experiencia y Capacidad</v>
      </c>
      <c r="C152" s="15" t="str">
        <f>IF('Identificación y Evaluación'!H152="SI",'Identificación y Evaluación'!A152,"")</f>
        <v/>
      </c>
      <c r="D152" s="15">
        <f>'Identificación y Evaluación'!$G$187</f>
        <v>4</v>
      </c>
      <c r="E152" s="75"/>
      <c r="F152" s="76">
        <f t="shared" si="1"/>
        <v>0</v>
      </c>
    </row>
    <row r="153" ht="15.0" hidden="1" customHeight="1">
      <c r="A153" s="15"/>
      <c r="B153" s="15" t="str">
        <f>'Identificación y Evaluación'!$A$145</f>
        <v>Experiencia y Capacidad</v>
      </c>
      <c r="C153" s="15" t="str">
        <f>IF('Identificación y Evaluación'!H153="SI",'Identificación y Evaluación'!A153,"")</f>
        <v/>
      </c>
      <c r="D153" s="15">
        <f>'Identificación y Evaluación'!$G$187</f>
        <v>4</v>
      </c>
      <c r="E153" s="75"/>
      <c r="F153" s="76">
        <f t="shared" si="1"/>
        <v>0</v>
      </c>
    </row>
    <row r="154" ht="15.0" hidden="1" customHeight="1">
      <c r="A154" s="15"/>
      <c r="B154" s="15" t="str">
        <f>'Identificación y Evaluación'!$A$145</f>
        <v>Experiencia y Capacidad</v>
      </c>
      <c r="C154" s="15" t="str">
        <f>IF('Identificación y Evaluación'!H154="SI",'Identificación y Evaluación'!A154,"")</f>
        <v/>
      </c>
      <c r="D154" s="15">
        <f>'Identificación y Evaluación'!$G$187</f>
        <v>4</v>
      </c>
      <c r="E154" s="75"/>
      <c r="F154" s="76">
        <f t="shared" si="1"/>
        <v>0</v>
      </c>
    </row>
    <row r="155" ht="15.0" hidden="1" customHeight="1">
      <c r="A155" s="15"/>
      <c r="B155" s="15" t="str">
        <f>'Identificación y Evaluación'!$A$145</f>
        <v>Experiencia y Capacidad</v>
      </c>
      <c r="C155" s="15" t="str">
        <f>IF('Identificación y Evaluación'!H155="SI",'Identificación y Evaluación'!A155,"")</f>
        <v/>
      </c>
      <c r="D155" s="15">
        <f>'Identificación y Evaluación'!$G$187</f>
        <v>4</v>
      </c>
      <c r="E155" s="75"/>
      <c r="F155" s="76">
        <f t="shared" si="1"/>
        <v>0</v>
      </c>
    </row>
    <row r="156" ht="15.0" hidden="1" customHeight="1">
      <c r="A156" s="15"/>
      <c r="B156" s="15" t="str">
        <f>'Identificación y Evaluación'!$A$145</f>
        <v>Experiencia y Capacidad</v>
      </c>
      <c r="C156" s="15" t="str">
        <f>IF('Identificación y Evaluación'!H156="SI",'Identificación y Evaluación'!A156,"")</f>
        <v/>
      </c>
      <c r="D156" s="15">
        <f>'Identificación y Evaluación'!$G$187</f>
        <v>4</v>
      </c>
      <c r="E156" s="75"/>
      <c r="F156" s="76">
        <f t="shared" si="1"/>
        <v>0</v>
      </c>
    </row>
    <row r="157" ht="15.0" hidden="1" customHeight="1">
      <c r="A157" s="15"/>
      <c r="B157" s="15" t="str">
        <f>'Identificación y Evaluación'!$A$145</f>
        <v>Experiencia y Capacidad</v>
      </c>
      <c r="C157" s="15" t="str">
        <f>IF('Identificación y Evaluación'!H157="SI",'Identificación y Evaluación'!A157,"")</f>
        <v/>
      </c>
      <c r="D157" s="15">
        <f>'Identificación y Evaluación'!$G$187</f>
        <v>4</v>
      </c>
      <c r="E157" s="75"/>
      <c r="F157" s="76">
        <f t="shared" si="1"/>
        <v>0</v>
      </c>
    </row>
    <row r="158" ht="15.0" hidden="1" customHeight="1">
      <c r="A158" s="15"/>
      <c r="B158" s="15" t="str">
        <f>'Identificación y Evaluación'!$A$145</f>
        <v>Experiencia y Capacidad</v>
      </c>
      <c r="C158" s="15" t="str">
        <f>IF('Identificación y Evaluación'!H158="SI",'Identificación y Evaluación'!A158,"")</f>
        <v/>
      </c>
      <c r="D158" s="15">
        <f>'Identificación y Evaluación'!$G$187</f>
        <v>4</v>
      </c>
      <c r="E158" s="75"/>
      <c r="F158" s="76">
        <f t="shared" si="1"/>
        <v>0</v>
      </c>
    </row>
    <row r="159" ht="15.0" hidden="1" customHeight="1">
      <c r="A159" s="15"/>
      <c r="B159" s="15" t="str">
        <f>'Identificación y Evaluación'!$A$145</f>
        <v>Experiencia y Capacidad</v>
      </c>
      <c r="C159" s="15" t="str">
        <f>IF('Identificación y Evaluación'!H159="SI",'Identificación y Evaluación'!A159,"")</f>
        <v/>
      </c>
      <c r="D159" s="15">
        <f>'Identificación y Evaluación'!$G$187</f>
        <v>4</v>
      </c>
      <c r="E159" s="75"/>
      <c r="F159" s="76">
        <f t="shared" si="1"/>
        <v>0</v>
      </c>
    </row>
    <row r="160" ht="15.0" hidden="1" customHeight="1">
      <c r="A160" s="15"/>
      <c r="B160" s="15" t="str">
        <f>'Identificación y Evaluación'!$A$145</f>
        <v>Experiencia y Capacidad</v>
      </c>
      <c r="C160" s="15" t="str">
        <f>IF('Identificación y Evaluación'!H160="SI",'Identificación y Evaluación'!A160,"")</f>
        <v/>
      </c>
      <c r="D160" s="15">
        <f>'Identificación y Evaluación'!$G$187</f>
        <v>4</v>
      </c>
      <c r="E160" s="75"/>
      <c r="F160" s="76">
        <f t="shared" si="1"/>
        <v>0</v>
      </c>
    </row>
    <row r="161" ht="15.0" hidden="1" customHeight="1">
      <c r="A161" s="15"/>
      <c r="B161" s="15" t="str">
        <f>'Identificación y Evaluación'!$A$145</f>
        <v>Experiencia y Capacidad</v>
      </c>
      <c r="C161" s="15" t="str">
        <f>IF('Identificación y Evaluación'!H161="SI",'Identificación y Evaluación'!A161,"")</f>
        <v/>
      </c>
      <c r="D161" s="15">
        <f>'Identificación y Evaluación'!$G$187</f>
        <v>4</v>
      </c>
      <c r="E161" s="75"/>
      <c r="F161" s="76">
        <f t="shared" si="1"/>
        <v>0</v>
      </c>
    </row>
    <row r="162" ht="15.0" hidden="1" customHeight="1">
      <c r="A162" s="15"/>
      <c r="B162" s="15" t="str">
        <f>'Identificación y Evaluación'!$A$145</f>
        <v>Experiencia y Capacidad</v>
      </c>
      <c r="C162" s="15" t="str">
        <f>IF('Identificación y Evaluación'!H162="SI",'Identificación y Evaluación'!A162,"")</f>
        <v/>
      </c>
      <c r="D162" s="15">
        <f>'Identificación y Evaluación'!$G$187</f>
        <v>4</v>
      </c>
      <c r="E162" s="75"/>
      <c r="F162" s="76">
        <f t="shared" si="1"/>
        <v>0</v>
      </c>
    </row>
    <row r="163" ht="15.0" hidden="1" customHeight="1">
      <c r="A163" s="15"/>
      <c r="B163" s="15" t="str">
        <f>'Identificación y Evaluación'!$A$145</f>
        <v>Experiencia y Capacidad</v>
      </c>
      <c r="C163" s="15" t="str">
        <f>IF('Identificación y Evaluación'!H163="SI",'Identificación y Evaluación'!A163,"")</f>
        <v/>
      </c>
      <c r="D163" s="15">
        <f>'Identificación y Evaluación'!$G$187</f>
        <v>4</v>
      </c>
      <c r="E163" s="75"/>
      <c r="F163" s="76">
        <f t="shared" si="1"/>
        <v>0</v>
      </c>
    </row>
    <row r="164" ht="15.0" hidden="1" customHeight="1">
      <c r="A164" s="15"/>
      <c r="B164" s="15" t="str">
        <f>'Identificación y Evaluación'!$A$145</f>
        <v>Experiencia y Capacidad</v>
      </c>
      <c r="C164" s="15" t="str">
        <f>IF('Identificación y Evaluación'!H164="SI",'Identificación y Evaluación'!A164,"")</f>
        <v/>
      </c>
      <c r="D164" s="15">
        <f>'Identificación y Evaluación'!$G$187</f>
        <v>4</v>
      </c>
      <c r="E164" s="75"/>
      <c r="F164" s="76">
        <f t="shared" si="1"/>
        <v>0</v>
      </c>
    </row>
    <row r="165" ht="15.0" hidden="1" customHeight="1">
      <c r="A165" s="15"/>
      <c r="B165" s="15" t="str">
        <f>'Identificación y Evaluación'!$A$145</f>
        <v>Experiencia y Capacidad</v>
      </c>
      <c r="C165" s="15" t="str">
        <f>IF('Identificación y Evaluación'!H165="SI",'Identificación y Evaluación'!A165,"")</f>
        <v/>
      </c>
      <c r="D165" s="15">
        <f>'Identificación y Evaluación'!$G$187</f>
        <v>4</v>
      </c>
      <c r="E165" s="75"/>
      <c r="F165" s="76">
        <f t="shared" si="1"/>
        <v>0</v>
      </c>
    </row>
    <row r="166" ht="15.0" hidden="1" customHeight="1">
      <c r="A166" s="15"/>
      <c r="B166" s="15" t="str">
        <f>'Identificación y Evaluación'!$A$145</f>
        <v>Experiencia y Capacidad</v>
      </c>
      <c r="C166" s="15" t="str">
        <f>IF('Identificación y Evaluación'!H166="SI",'Identificación y Evaluación'!A166,"")</f>
        <v/>
      </c>
      <c r="D166" s="15">
        <f>'Identificación y Evaluación'!$G$187</f>
        <v>4</v>
      </c>
      <c r="E166" s="75"/>
      <c r="F166" s="76">
        <f t="shared" si="1"/>
        <v>0</v>
      </c>
    </row>
    <row r="167" ht="15.0" hidden="1" customHeight="1">
      <c r="A167" s="15"/>
      <c r="B167" s="15" t="str">
        <f>'Identificación y Evaluación'!$A$145</f>
        <v>Experiencia y Capacidad</v>
      </c>
      <c r="C167" s="15" t="str">
        <f>IF('Identificación y Evaluación'!H167="SI",'Identificación y Evaluación'!A167,"")</f>
        <v/>
      </c>
      <c r="D167" s="15">
        <f>'Identificación y Evaluación'!$G$187</f>
        <v>4</v>
      </c>
      <c r="E167" s="75"/>
      <c r="F167" s="76">
        <f t="shared" si="1"/>
        <v>0</v>
      </c>
    </row>
    <row r="168" ht="15.0" hidden="1" customHeight="1">
      <c r="A168" s="15"/>
      <c r="B168" s="15" t="str">
        <f>'Identificación y Evaluación'!$A$145</f>
        <v>Experiencia y Capacidad</v>
      </c>
      <c r="C168" s="15" t="str">
        <f>IF('Identificación y Evaluación'!H168="SI",'Identificación y Evaluación'!A168,"")</f>
        <v/>
      </c>
      <c r="D168" s="15">
        <f>'Identificación y Evaluación'!$G$187</f>
        <v>4</v>
      </c>
      <c r="E168" s="75"/>
      <c r="F168" s="76">
        <f t="shared" si="1"/>
        <v>0</v>
      </c>
    </row>
    <row r="169" ht="15.0" hidden="1" customHeight="1">
      <c r="A169" s="15"/>
      <c r="B169" s="15" t="str">
        <f>'Identificación y Evaluación'!$A$145</f>
        <v>Experiencia y Capacidad</v>
      </c>
      <c r="C169" s="15" t="str">
        <f>IF('Identificación y Evaluación'!H169="SI",'Identificación y Evaluación'!A169,"")</f>
        <v/>
      </c>
      <c r="D169" s="15">
        <f>'Identificación y Evaluación'!$G$187</f>
        <v>4</v>
      </c>
      <c r="E169" s="75"/>
      <c r="F169" s="76">
        <f t="shared" si="1"/>
        <v>0</v>
      </c>
    </row>
    <row r="170" ht="15.0" hidden="1" customHeight="1">
      <c r="A170" s="15"/>
      <c r="B170" s="15" t="str">
        <f>'Identificación y Evaluación'!$A$145</f>
        <v>Experiencia y Capacidad</v>
      </c>
      <c r="C170" s="15" t="str">
        <f>IF('Identificación y Evaluación'!H170="SI",'Identificación y Evaluación'!A170,"")</f>
        <v/>
      </c>
      <c r="D170" s="15">
        <f>'Identificación y Evaluación'!$G$187</f>
        <v>4</v>
      </c>
      <c r="E170" s="75"/>
      <c r="F170" s="76">
        <f t="shared" si="1"/>
        <v>0</v>
      </c>
    </row>
    <row r="171" ht="15.0" hidden="1" customHeight="1">
      <c r="A171" s="15"/>
      <c r="B171" s="15" t="str">
        <f>'Identificación y Evaluación'!$A$145</f>
        <v>Experiencia y Capacidad</v>
      </c>
      <c r="C171" s="15" t="str">
        <f>IF('Identificación y Evaluación'!H171="SI",'Identificación y Evaluación'!A171,"")</f>
        <v/>
      </c>
      <c r="D171" s="15">
        <f>'Identificación y Evaluación'!$G$187</f>
        <v>4</v>
      </c>
      <c r="E171" s="75"/>
      <c r="F171" s="76">
        <f t="shared" si="1"/>
        <v>0</v>
      </c>
    </row>
    <row r="172" ht="15.0" hidden="1" customHeight="1">
      <c r="A172" s="15"/>
      <c r="B172" s="15" t="str">
        <f>'Identificación y Evaluación'!$A$145</f>
        <v>Experiencia y Capacidad</v>
      </c>
      <c r="C172" s="15" t="str">
        <f>IF('Identificación y Evaluación'!H172="SI",'Identificación y Evaluación'!A172,"")</f>
        <v/>
      </c>
      <c r="D172" s="15">
        <f>'Identificación y Evaluación'!$G$187</f>
        <v>4</v>
      </c>
      <c r="E172" s="75"/>
      <c r="F172" s="76">
        <f t="shared" si="1"/>
        <v>0</v>
      </c>
    </row>
    <row r="173" ht="15.0" hidden="1" customHeight="1">
      <c r="A173" s="15"/>
      <c r="B173" s="15" t="str">
        <f>'Identificación y Evaluación'!$A$145</f>
        <v>Experiencia y Capacidad</v>
      </c>
      <c r="C173" s="15" t="str">
        <f>IF('Identificación y Evaluación'!H173="SI",'Identificación y Evaluación'!A173,"")</f>
        <v/>
      </c>
      <c r="D173" s="15">
        <f>'Identificación y Evaluación'!$G$187</f>
        <v>4</v>
      </c>
      <c r="E173" s="75"/>
      <c r="F173" s="76">
        <f t="shared" si="1"/>
        <v>0</v>
      </c>
    </row>
    <row r="174" ht="15.0" hidden="1" customHeight="1">
      <c r="A174" s="15"/>
      <c r="B174" s="15" t="str">
        <f>'Identificación y Evaluación'!$A$145</f>
        <v>Experiencia y Capacidad</v>
      </c>
      <c r="C174" s="15" t="str">
        <f>IF('Identificación y Evaluación'!H174="SI",'Identificación y Evaluación'!A174,"")</f>
        <v/>
      </c>
      <c r="D174" s="15">
        <f>'Identificación y Evaluación'!$G$187</f>
        <v>4</v>
      </c>
      <c r="E174" s="75"/>
      <c r="F174" s="76">
        <f t="shared" si="1"/>
        <v>0</v>
      </c>
    </row>
    <row r="175" ht="15.0" hidden="1" customHeight="1">
      <c r="A175" s="15"/>
      <c r="B175" s="15" t="str">
        <f>'Identificación y Evaluación'!$A$145</f>
        <v>Experiencia y Capacidad</v>
      </c>
      <c r="C175" s="15" t="str">
        <f>IF('Identificación y Evaluación'!H175="SI",'Identificación y Evaluación'!A175,"")</f>
        <v/>
      </c>
      <c r="D175" s="15">
        <f>'Identificación y Evaluación'!$G$187</f>
        <v>4</v>
      </c>
      <c r="E175" s="75"/>
      <c r="F175" s="76">
        <f t="shared" si="1"/>
        <v>0</v>
      </c>
    </row>
    <row r="176" ht="15.0" hidden="1" customHeight="1">
      <c r="A176" s="15"/>
      <c r="B176" s="15" t="str">
        <f>'Identificación y Evaluación'!$A$145</f>
        <v>Experiencia y Capacidad</v>
      </c>
      <c r="C176" s="15" t="str">
        <f>IF('Identificación y Evaluación'!H176="SI",'Identificación y Evaluación'!A176,"")</f>
        <v/>
      </c>
      <c r="D176" s="15">
        <f>'Identificación y Evaluación'!$G$187</f>
        <v>4</v>
      </c>
      <c r="E176" s="75"/>
      <c r="F176" s="76">
        <f t="shared" si="1"/>
        <v>0</v>
      </c>
    </row>
    <row r="177" ht="15.0" hidden="1" customHeight="1">
      <c r="A177" s="15"/>
      <c r="B177" s="15" t="str">
        <f>'Identificación y Evaluación'!$A$145</f>
        <v>Experiencia y Capacidad</v>
      </c>
      <c r="C177" s="15" t="str">
        <f>IF('Identificación y Evaluación'!H177="SI",'Identificación y Evaluación'!A177,"")</f>
        <v/>
      </c>
      <c r="D177" s="15">
        <f>'Identificación y Evaluación'!$G$187</f>
        <v>4</v>
      </c>
      <c r="E177" s="75"/>
      <c r="F177" s="76">
        <f t="shared" si="1"/>
        <v>0</v>
      </c>
    </row>
    <row r="178" ht="15.0" hidden="1" customHeight="1">
      <c r="A178" s="15"/>
      <c r="B178" s="15" t="str">
        <f>'Identificación y Evaluación'!$A$145</f>
        <v>Experiencia y Capacidad</v>
      </c>
      <c r="C178" s="15" t="str">
        <f>IF('Identificación y Evaluación'!H178="SI",'Identificación y Evaluación'!A178,"")</f>
        <v/>
      </c>
      <c r="D178" s="15">
        <f>'Identificación y Evaluación'!$G$187</f>
        <v>4</v>
      </c>
      <c r="E178" s="75"/>
      <c r="F178" s="76">
        <f t="shared" si="1"/>
        <v>0</v>
      </c>
    </row>
    <row r="179" ht="15.0" hidden="1" customHeight="1">
      <c r="A179" s="15"/>
      <c r="B179" s="15" t="str">
        <f>'Identificación y Evaluación'!$A$145</f>
        <v>Experiencia y Capacidad</v>
      </c>
      <c r="C179" s="15" t="str">
        <f>IF('Identificación y Evaluación'!H179="SI",'Identificación y Evaluación'!A179,"")</f>
        <v/>
      </c>
      <c r="D179" s="15">
        <f>'Identificación y Evaluación'!$G$187</f>
        <v>4</v>
      </c>
      <c r="E179" s="75"/>
      <c r="F179" s="76">
        <f t="shared" si="1"/>
        <v>0</v>
      </c>
    </row>
    <row r="180" ht="15.0" hidden="1" customHeight="1">
      <c r="A180" s="15"/>
      <c r="B180" s="15" t="str">
        <f>'Identificación y Evaluación'!$A$145</f>
        <v>Experiencia y Capacidad</v>
      </c>
      <c r="C180" s="15" t="str">
        <f>IF('Identificación y Evaluación'!H180="SI",'Identificación y Evaluación'!A180,"")</f>
        <v/>
      </c>
      <c r="D180" s="15">
        <f>'Identificación y Evaluación'!$G$187</f>
        <v>4</v>
      </c>
      <c r="E180" s="75"/>
      <c r="F180" s="76">
        <f t="shared" si="1"/>
        <v>0</v>
      </c>
    </row>
    <row r="181" ht="15.0" hidden="1" customHeight="1">
      <c r="A181" s="15"/>
      <c r="B181" s="15" t="str">
        <f>'Identificación y Evaluación'!$A$145</f>
        <v>Experiencia y Capacidad</v>
      </c>
      <c r="C181" s="15" t="str">
        <f>IF('Identificación y Evaluación'!H181="SI",'Identificación y Evaluación'!A181,"")</f>
        <v/>
      </c>
      <c r="D181" s="15">
        <f>'Identificación y Evaluación'!$G$187</f>
        <v>4</v>
      </c>
      <c r="E181" s="75"/>
      <c r="F181" s="76">
        <f t="shared" si="1"/>
        <v>0</v>
      </c>
    </row>
    <row r="182" ht="15.0" hidden="1" customHeight="1">
      <c r="A182" s="15"/>
      <c r="B182" s="15" t="str">
        <f>'Identificación y Evaluación'!$A$145</f>
        <v>Experiencia y Capacidad</v>
      </c>
      <c r="C182" s="15" t="str">
        <f>IF('Identificación y Evaluación'!H182="SI",'Identificación y Evaluación'!A182,"")</f>
        <v/>
      </c>
      <c r="D182" s="15">
        <f>'Identificación y Evaluación'!$G$187</f>
        <v>4</v>
      </c>
      <c r="E182" s="75"/>
      <c r="F182" s="76">
        <f t="shared" si="1"/>
        <v>0</v>
      </c>
    </row>
    <row r="183" ht="15.0" hidden="1" customHeight="1">
      <c r="A183" s="15"/>
      <c r="B183" s="15" t="str">
        <f>'Identificación y Evaluación'!$A$145</f>
        <v>Experiencia y Capacidad</v>
      </c>
      <c r="C183" s="15" t="str">
        <f>IF('Identificación y Evaluación'!H183="SI",'Identificación y Evaluación'!A183,"")</f>
        <v/>
      </c>
      <c r="D183" s="15">
        <f>'Identificación y Evaluación'!$G$187</f>
        <v>4</v>
      </c>
      <c r="E183" s="75"/>
      <c r="F183" s="76">
        <f t="shared" si="1"/>
        <v>0</v>
      </c>
    </row>
    <row r="184" ht="15.0" hidden="1" customHeight="1">
      <c r="A184" s="15"/>
      <c r="B184" s="15" t="str">
        <f>'Identificación y Evaluación'!$A$145</f>
        <v>Experiencia y Capacidad</v>
      </c>
      <c r="C184" s="15" t="str">
        <f>IF('Identificación y Evaluación'!H184="SI",'Identificación y Evaluación'!A184,"")</f>
        <v/>
      </c>
      <c r="D184" s="15">
        <f>'Identificación y Evaluación'!$G$187</f>
        <v>4</v>
      </c>
      <c r="E184" s="75"/>
      <c r="F184" s="76">
        <f t="shared" si="1"/>
        <v>0</v>
      </c>
    </row>
    <row r="185" ht="15.0" hidden="1" customHeight="1">
      <c r="A185" s="15"/>
      <c r="B185" s="15" t="str">
        <f>'Identificación y Evaluación'!$A$145</f>
        <v>Experiencia y Capacidad</v>
      </c>
      <c r="C185" s="15" t="str">
        <f>IF('Identificación y Evaluación'!H185="SI",'Identificación y Evaluación'!A185,"")</f>
        <v/>
      </c>
      <c r="D185" s="15">
        <f>'Identificación y Evaluación'!$G$187</f>
        <v>4</v>
      </c>
      <c r="E185" s="75"/>
      <c r="F185" s="76">
        <f t="shared" si="1"/>
        <v>0</v>
      </c>
    </row>
    <row r="186" ht="15.0" hidden="1" customHeight="1">
      <c r="A186" s="15"/>
      <c r="B186" s="15" t="str">
        <f>'Identificación y Evaluación'!$A$145</f>
        <v>Experiencia y Capacidad</v>
      </c>
      <c r="C186" s="15" t="str">
        <f>IF('Identificación y Evaluación'!H186="SI",'Identificación y Evaluación'!A186,"")</f>
        <v/>
      </c>
      <c r="D186" s="15">
        <f>'Identificación y Evaluación'!$G$187</f>
        <v>4</v>
      </c>
      <c r="E186" s="75"/>
      <c r="F186" s="76">
        <f t="shared" si="1"/>
        <v>0</v>
      </c>
    </row>
    <row r="187" ht="15.0" hidden="1" customHeight="1">
      <c r="A187" s="15"/>
      <c r="B187" s="15" t="str">
        <f>'Identificación y Evaluación'!$A$145</f>
        <v>Experiencia y Capacidad</v>
      </c>
      <c r="C187" s="15" t="str">
        <f>IF('Identificación y Evaluación'!H187="SI",'Identificación y Evaluación'!A187,"")</f>
        <v/>
      </c>
      <c r="D187" s="15">
        <f>'Identificación y Evaluación'!$G$187</f>
        <v>4</v>
      </c>
      <c r="E187" s="75"/>
      <c r="F187" s="76">
        <f t="shared" si="1"/>
        <v>0</v>
      </c>
    </row>
    <row r="188" ht="15.0" hidden="1" customHeight="1">
      <c r="A188" s="15"/>
      <c r="B188" s="15" t="str">
        <f>'Identificación y Evaluación'!$A$145</f>
        <v>Experiencia y Capacidad</v>
      </c>
      <c r="C188" s="15" t="str">
        <f>IF('Identificación y Evaluación'!H188="SI",'Identificación y Evaluación'!A188,"")</f>
        <v/>
      </c>
      <c r="D188" s="15">
        <f>'Identificación y Evaluación'!$G$187</f>
        <v>4</v>
      </c>
      <c r="E188" s="75"/>
      <c r="F188" s="76">
        <f t="shared" si="1"/>
        <v>0</v>
      </c>
    </row>
    <row r="189" ht="15.0" hidden="1" customHeight="1">
      <c r="A189" s="15"/>
      <c r="B189" s="15" t="str">
        <f>'Identificación y Evaluación'!$A$145</f>
        <v>Experiencia y Capacidad</v>
      </c>
      <c r="C189" s="15" t="str">
        <f>IF('Identificación y Evaluación'!H189="SI",'Identificación y Evaluación'!A189,"")</f>
        <v/>
      </c>
      <c r="D189" s="15">
        <f>'Identificación y Evaluación'!$G$187</f>
        <v>4</v>
      </c>
      <c r="E189" s="75"/>
      <c r="F189" s="76">
        <f t="shared" si="1"/>
        <v>0</v>
      </c>
    </row>
    <row r="190" ht="15.0" hidden="1" customHeight="1">
      <c r="A190" s="15"/>
      <c r="B190" s="15" t="str">
        <f>'Identificación y Evaluación'!$A$145</f>
        <v>Experiencia y Capacidad</v>
      </c>
      <c r="C190" s="15" t="str">
        <f>IF('Identificación y Evaluación'!H190="SI",'Identificación y Evaluación'!A190,"")</f>
        <v/>
      </c>
      <c r="D190" s="15">
        <f>'Identificación y Evaluación'!$G$187</f>
        <v>4</v>
      </c>
      <c r="E190" s="75"/>
      <c r="F190" s="76">
        <f t="shared" si="1"/>
        <v>0</v>
      </c>
    </row>
    <row r="191" ht="15.0" hidden="1" customHeight="1">
      <c r="A191" s="15"/>
      <c r="B191" s="15" t="str">
        <f>'Identificación y Evaluación'!$A$145</f>
        <v>Experiencia y Capacidad</v>
      </c>
      <c r="C191" s="15" t="str">
        <f>IF('Identificación y Evaluación'!H191="SI",'Identificación y Evaluación'!A191,"")</f>
        <v/>
      </c>
      <c r="D191" s="15">
        <f>'Identificación y Evaluación'!$G$187</f>
        <v>4</v>
      </c>
      <c r="E191" s="75"/>
      <c r="F191" s="76">
        <f t="shared" si="1"/>
        <v>0</v>
      </c>
    </row>
    <row r="192" ht="15.0" hidden="1" customHeight="1">
      <c r="A192" s="15"/>
      <c r="B192" s="15" t="str">
        <f>'Identificación y Evaluación'!$A$145</f>
        <v>Experiencia y Capacidad</v>
      </c>
      <c r="C192" s="15" t="str">
        <f>IF('Identificación y Evaluación'!H192="SI",'Identificación y Evaluación'!A192,"")</f>
        <v/>
      </c>
      <c r="D192" s="15">
        <f>'Identificación y Evaluación'!$G$187</f>
        <v>4</v>
      </c>
      <c r="E192" s="75"/>
      <c r="F192" s="76">
        <f t="shared" si="1"/>
        <v>0</v>
      </c>
    </row>
    <row r="193" ht="15.0" hidden="1" customHeight="1">
      <c r="A193" s="15"/>
      <c r="B193" s="15" t="str">
        <f>'Identificación y Evaluación'!$A$193</f>
        <v>Duración y Tamaño</v>
      </c>
      <c r="C193" s="15" t="str">
        <f>IF('Identificación y Evaluación'!H193="SI",'Identificación y Evaluación'!A193,"")</f>
        <v/>
      </c>
      <c r="D193" s="15">
        <f>'Identificación y Evaluación'!$G$235</f>
        <v>3</v>
      </c>
      <c r="E193" s="75"/>
      <c r="F193" s="76">
        <f t="shared" si="1"/>
        <v>0</v>
      </c>
    </row>
    <row r="194" ht="15.75" hidden="1" customHeight="1">
      <c r="A194" s="15"/>
      <c r="B194" s="15" t="str">
        <f>'Identificación y Evaluación'!$A$193</f>
        <v>Duración y Tamaño</v>
      </c>
      <c r="C194" s="15" t="str">
        <f>IF('Identificación y Evaluación'!H194="SI",'Identificación y Evaluación'!A194,"")</f>
        <v/>
      </c>
      <c r="D194" s="15">
        <f>'Identificación y Evaluación'!$G$235</f>
        <v>3</v>
      </c>
      <c r="E194" s="75"/>
      <c r="F194" s="76">
        <f t="shared" si="1"/>
        <v>0</v>
      </c>
    </row>
    <row r="195" ht="15.0" hidden="1" customHeight="1">
      <c r="A195" s="15"/>
      <c r="B195" s="15" t="str">
        <f>'Identificación y Evaluación'!$A$193</f>
        <v>Duración y Tamaño</v>
      </c>
      <c r="C195" s="15" t="str">
        <f>IF('Identificación y Evaluación'!H195="SI",'Identificación y Evaluación'!A195,"")</f>
        <v/>
      </c>
      <c r="D195" s="15">
        <f>'Identificación y Evaluación'!$G$235</f>
        <v>3</v>
      </c>
      <c r="E195" s="75"/>
      <c r="F195" s="76">
        <f t="shared" si="1"/>
        <v>0</v>
      </c>
    </row>
    <row r="196" ht="15.0" hidden="1" customHeight="1">
      <c r="A196" s="15"/>
      <c r="B196" s="15" t="str">
        <f>'Identificación y Evaluación'!$A$193</f>
        <v>Duración y Tamaño</v>
      </c>
      <c r="C196" s="15" t="str">
        <f>IF('Identificación y Evaluación'!H196="SI",'Identificación y Evaluación'!A196,"")</f>
        <v/>
      </c>
      <c r="D196" s="15">
        <f>'Identificación y Evaluación'!$G$235</f>
        <v>3</v>
      </c>
      <c r="E196" s="75"/>
      <c r="F196" s="76">
        <f t="shared" si="1"/>
        <v>0</v>
      </c>
    </row>
    <row r="197" ht="15.75" hidden="1" customHeight="1">
      <c r="A197" s="15"/>
      <c r="B197" s="15" t="str">
        <f>'Identificación y Evaluación'!$A$193</f>
        <v>Duración y Tamaño</v>
      </c>
      <c r="C197" s="15" t="str">
        <f>IF('Identificación y Evaluación'!H197="SI",'Identificación y Evaluación'!A197,"")</f>
        <v/>
      </c>
      <c r="D197" s="15">
        <f>'Identificación y Evaluación'!$G$235</f>
        <v>3</v>
      </c>
      <c r="E197" s="75"/>
      <c r="F197" s="76">
        <f t="shared" si="1"/>
        <v>0</v>
      </c>
    </row>
    <row r="198" ht="15.75" hidden="1" customHeight="1">
      <c r="A198" s="15"/>
      <c r="B198" s="15" t="str">
        <f>'Identificación y Evaluación'!$A$193</f>
        <v>Duración y Tamaño</v>
      </c>
      <c r="C198" s="15" t="str">
        <f>IF('Identificación y Evaluación'!H198="SI",'Identificación y Evaluación'!A198,"")</f>
        <v/>
      </c>
      <c r="D198" s="15">
        <f>'Identificación y Evaluación'!$G$235</f>
        <v>3</v>
      </c>
      <c r="E198" s="75"/>
      <c r="F198" s="76">
        <f t="shared" si="1"/>
        <v>0</v>
      </c>
    </row>
    <row r="199" ht="15.0" hidden="1" customHeight="1">
      <c r="A199" s="15"/>
      <c r="B199" s="15" t="str">
        <f>'Identificación y Evaluación'!$A$193</f>
        <v>Duración y Tamaño</v>
      </c>
      <c r="C199" s="15" t="str">
        <f>IF('Identificación y Evaluación'!H199="SI",'Identificación y Evaluación'!A199,"")</f>
        <v/>
      </c>
      <c r="D199" s="15">
        <f>'Identificación y Evaluación'!$G$235</f>
        <v>3</v>
      </c>
      <c r="E199" s="75"/>
      <c r="F199" s="76">
        <f t="shared" si="1"/>
        <v>0</v>
      </c>
    </row>
    <row r="200" ht="15.75" hidden="1" customHeight="1">
      <c r="A200" s="15"/>
      <c r="B200" s="15" t="str">
        <f>'Identificación y Evaluación'!$A$193</f>
        <v>Duración y Tamaño</v>
      </c>
      <c r="C200" s="15" t="str">
        <f>IF('Identificación y Evaluación'!H200="SI",'Identificación y Evaluación'!A200,"")</f>
        <v/>
      </c>
      <c r="D200" s="15">
        <f>'Identificación y Evaluación'!$G$235</f>
        <v>3</v>
      </c>
      <c r="E200" s="75"/>
      <c r="F200" s="76">
        <f t="shared" si="1"/>
        <v>0</v>
      </c>
    </row>
    <row r="201" ht="15.0" hidden="1" customHeight="1">
      <c r="A201" s="15"/>
      <c r="B201" s="15" t="str">
        <f>'Identificación y Evaluación'!$A$193</f>
        <v>Duración y Tamaño</v>
      </c>
      <c r="C201" s="15" t="str">
        <f>IF('Identificación y Evaluación'!H201="SI",'Identificación y Evaluación'!A201,"")</f>
        <v/>
      </c>
      <c r="D201" s="15">
        <f>'Identificación y Evaluación'!$G$235</f>
        <v>3</v>
      </c>
      <c r="E201" s="75"/>
      <c r="F201" s="76">
        <f t="shared" si="1"/>
        <v>0</v>
      </c>
    </row>
    <row r="202" ht="15.75" hidden="1" customHeight="1">
      <c r="A202" s="15"/>
      <c r="B202" s="15" t="str">
        <f>'Identificación y Evaluación'!$A$193</f>
        <v>Duración y Tamaño</v>
      </c>
      <c r="C202" s="15" t="str">
        <f>IF('Identificación y Evaluación'!H202="SI",'Identificación y Evaluación'!A202,"")</f>
        <v/>
      </c>
      <c r="D202" s="15">
        <f>'Identificación y Evaluación'!$G$235</f>
        <v>3</v>
      </c>
      <c r="E202" s="75"/>
      <c r="F202" s="76">
        <f t="shared" si="1"/>
        <v>0</v>
      </c>
    </row>
    <row r="203" ht="15.0" hidden="1" customHeight="1">
      <c r="A203" s="15"/>
      <c r="B203" s="15" t="str">
        <f>'Identificación y Evaluación'!$A$193</f>
        <v>Duración y Tamaño</v>
      </c>
      <c r="C203" s="15" t="str">
        <f>IF('Identificación y Evaluación'!H203="SI",'Identificación y Evaluación'!A203,"")</f>
        <v/>
      </c>
      <c r="D203" s="15">
        <f>'Identificación y Evaluación'!$G$235</f>
        <v>3</v>
      </c>
      <c r="E203" s="75"/>
      <c r="F203" s="76">
        <f t="shared" si="1"/>
        <v>0</v>
      </c>
    </row>
    <row r="204" ht="15.0" hidden="1" customHeight="1">
      <c r="A204" s="15"/>
      <c r="B204" s="15" t="str">
        <f>'Identificación y Evaluación'!$A$193</f>
        <v>Duración y Tamaño</v>
      </c>
      <c r="C204" s="15" t="str">
        <f>IF('Identificación y Evaluación'!H204="SI",'Identificación y Evaluación'!A204,"")</f>
        <v/>
      </c>
      <c r="D204" s="15">
        <f>'Identificación y Evaluación'!$G$235</f>
        <v>3</v>
      </c>
      <c r="E204" s="75"/>
      <c r="F204" s="76">
        <f t="shared" si="1"/>
        <v>0</v>
      </c>
    </row>
    <row r="205" ht="15.0" hidden="1" customHeight="1">
      <c r="A205" s="15"/>
      <c r="B205" s="15" t="str">
        <f>'Identificación y Evaluación'!$A$193</f>
        <v>Duración y Tamaño</v>
      </c>
      <c r="C205" s="15" t="str">
        <f>IF('Identificación y Evaluación'!H205="SI",'Identificación y Evaluación'!A205,"")</f>
        <v/>
      </c>
      <c r="D205" s="15">
        <f>'Identificación y Evaluación'!$G$235</f>
        <v>3</v>
      </c>
      <c r="E205" s="75"/>
      <c r="F205" s="76">
        <f t="shared" si="1"/>
        <v>0</v>
      </c>
    </row>
    <row r="206" ht="15.0" hidden="1" customHeight="1">
      <c r="A206" s="15"/>
      <c r="B206" s="15" t="str">
        <f>'Identificación y Evaluación'!$A$193</f>
        <v>Duración y Tamaño</v>
      </c>
      <c r="C206" s="15" t="str">
        <f>IF('Identificación y Evaluación'!H206="SI",'Identificación y Evaluación'!A206,"")</f>
        <v/>
      </c>
      <c r="D206" s="15">
        <f>'Identificación y Evaluación'!$G$235</f>
        <v>3</v>
      </c>
      <c r="E206" s="75"/>
      <c r="F206" s="76">
        <f t="shared" si="1"/>
        <v>0</v>
      </c>
    </row>
    <row r="207" ht="15.0" hidden="1" customHeight="1">
      <c r="A207" s="15"/>
      <c r="B207" s="15" t="str">
        <f>'Identificación y Evaluación'!$A$193</f>
        <v>Duración y Tamaño</v>
      </c>
      <c r="C207" s="15" t="str">
        <f>IF('Identificación y Evaluación'!H207="SI",'Identificación y Evaluación'!A207,"")</f>
        <v/>
      </c>
      <c r="D207" s="15">
        <f>'Identificación y Evaluación'!$G$235</f>
        <v>3</v>
      </c>
      <c r="E207" s="75"/>
      <c r="F207" s="76">
        <f t="shared" si="1"/>
        <v>0</v>
      </c>
    </row>
    <row r="208" ht="15.0" hidden="1" customHeight="1">
      <c r="A208" s="15"/>
      <c r="B208" s="15" t="str">
        <f>'Identificación y Evaluación'!$A$193</f>
        <v>Duración y Tamaño</v>
      </c>
      <c r="C208" s="15" t="str">
        <f>IF('Identificación y Evaluación'!H208="SI",'Identificación y Evaluación'!A208,"")</f>
        <v/>
      </c>
      <c r="D208" s="15">
        <f>'Identificación y Evaluación'!$G$235</f>
        <v>3</v>
      </c>
      <c r="E208" s="75"/>
      <c r="F208" s="76">
        <f t="shared" si="1"/>
        <v>0</v>
      </c>
    </row>
    <row r="209" ht="15.0" hidden="1" customHeight="1">
      <c r="A209" s="15"/>
      <c r="B209" s="15" t="str">
        <f>'Identificación y Evaluación'!$A$193</f>
        <v>Duración y Tamaño</v>
      </c>
      <c r="C209" s="15" t="str">
        <f>IF('Identificación y Evaluación'!H209="SI",'Identificación y Evaluación'!A209,"")</f>
        <v/>
      </c>
      <c r="D209" s="15">
        <f>'Identificación y Evaluación'!$G$235</f>
        <v>3</v>
      </c>
      <c r="E209" s="75"/>
      <c r="F209" s="76">
        <f t="shared" si="1"/>
        <v>0</v>
      </c>
    </row>
    <row r="210" ht="15.0" hidden="1" customHeight="1">
      <c r="A210" s="15"/>
      <c r="B210" s="15" t="str">
        <f>'Identificación y Evaluación'!$A$193</f>
        <v>Duración y Tamaño</v>
      </c>
      <c r="C210" s="15" t="str">
        <f>IF('Identificación y Evaluación'!H210="SI",'Identificación y Evaluación'!A210,"")</f>
        <v/>
      </c>
      <c r="D210" s="15">
        <f>'Identificación y Evaluación'!$G$235</f>
        <v>3</v>
      </c>
      <c r="E210" s="75"/>
      <c r="F210" s="76">
        <f t="shared" si="1"/>
        <v>0</v>
      </c>
    </row>
    <row r="211" ht="15.0" hidden="1" customHeight="1">
      <c r="A211" s="15"/>
      <c r="B211" s="15" t="str">
        <f>'Identificación y Evaluación'!$A$193</f>
        <v>Duración y Tamaño</v>
      </c>
      <c r="C211" s="15" t="str">
        <f>IF('Identificación y Evaluación'!H211="SI",'Identificación y Evaluación'!A211,"")</f>
        <v/>
      </c>
      <c r="D211" s="15">
        <f>'Identificación y Evaluación'!$G$235</f>
        <v>3</v>
      </c>
      <c r="E211" s="75"/>
      <c r="F211" s="76">
        <f t="shared" si="1"/>
        <v>0</v>
      </c>
    </row>
    <row r="212" ht="15.0" hidden="1" customHeight="1">
      <c r="A212" s="15"/>
      <c r="B212" s="15" t="str">
        <f>'Identificación y Evaluación'!$A$193</f>
        <v>Duración y Tamaño</v>
      </c>
      <c r="C212" s="15" t="str">
        <f>IF('Identificación y Evaluación'!H212="SI",'Identificación y Evaluación'!A212,"")</f>
        <v/>
      </c>
      <c r="D212" s="15">
        <f>'Identificación y Evaluación'!$G$235</f>
        <v>3</v>
      </c>
      <c r="E212" s="75"/>
      <c r="F212" s="76">
        <f t="shared" si="1"/>
        <v>0</v>
      </c>
    </row>
    <row r="213" ht="15.0" hidden="1" customHeight="1">
      <c r="A213" s="15"/>
      <c r="B213" s="15" t="str">
        <f>'Identificación y Evaluación'!$A$193</f>
        <v>Duración y Tamaño</v>
      </c>
      <c r="C213" s="15" t="str">
        <f>IF('Identificación y Evaluación'!H213="SI",'Identificación y Evaluación'!A213,"")</f>
        <v/>
      </c>
      <c r="D213" s="15">
        <f>'Identificación y Evaluación'!$G$235</f>
        <v>3</v>
      </c>
      <c r="E213" s="75"/>
      <c r="F213" s="76">
        <f t="shared" si="1"/>
        <v>0</v>
      </c>
    </row>
    <row r="214" ht="15.0" hidden="1" customHeight="1">
      <c r="A214" s="15"/>
      <c r="B214" s="15" t="str">
        <f>'Identificación y Evaluación'!$A$193</f>
        <v>Duración y Tamaño</v>
      </c>
      <c r="C214" s="15" t="str">
        <f>IF('Identificación y Evaluación'!H214="SI",'Identificación y Evaluación'!A214,"")</f>
        <v/>
      </c>
      <c r="D214" s="15">
        <f>'Identificación y Evaluación'!$G$235</f>
        <v>3</v>
      </c>
      <c r="E214" s="75"/>
      <c r="F214" s="76">
        <f t="shared" si="1"/>
        <v>0</v>
      </c>
    </row>
    <row r="215" ht="15.0" hidden="1" customHeight="1">
      <c r="A215" s="15"/>
      <c r="B215" s="15" t="str">
        <f>'Identificación y Evaluación'!$A$193</f>
        <v>Duración y Tamaño</v>
      </c>
      <c r="C215" s="15" t="str">
        <f>IF('Identificación y Evaluación'!H215="SI",'Identificación y Evaluación'!A215,"")</f>
        <v/>
      </c>
      <c r="D215" s="15">
        <f>'Identificación y Evaluación'!$G$235</f>
        <v>3</v>
      </c>
      <c r="E215" s="75"/>
      <c r="F215" s="76">
        <f t="shared" si="1"/>
        <v>0</v>
      </c>
    </row>
    <row r="216" ht="15.0" hidden="1" customHeight="1">
      <c r="A216" s="15"/>
      <c r="B216" s="15" t="str">
        <f>'Identificación y Evaluación'!$A$193</f>
        <v>Duración y Tamaño</v>
      </c>
      <c r="C216" s="15" t="str">
        <f>IF('Identificación y Evaluación'!H216="SI",'Identificación y Evaluación'!A216,"")</f>
        <v/>
      </c>
      <c r="D216" s="15">
        <f>'Identificación y Evaluación'!$G$235</f>
        <v>3</v>
      </c>
      <c r="E216" s="75"/>
      <c r="F216" s="76">
        <f t="shared" si="1"/>
        <v>0</v>
      </c>
    </row>
    <row r="217" ht="15.0" hidden="1" customHeight="1">
      <c r="A217" s="15"/>
      <c r="B217" s="15" t="str">
        <f>'Identificación y Evaluación'!$A$193</f>
        <v>Duración y Tamaño</v>
      </c>
      <c r="C217" s="15" t="str">
        <f>IF('Identificación y Evaluación'!H217="SI",'Identificación y Evaluación'!A217,"")</f>
        <v/>
      </c>
      <c r="D217" s="15">
        <f>'Identificación y Evaluación'!$G$235</f>
        <v>3</v>
      </c>
      <c r="E217" s="75"/>
      <c r="F217" s="76">
        <f t="shared" si="1"/>
        <v>0</v>
      </c>
    </row>
    <row r="218" ht="15.0" hidden="1" customHeight="1">
      <c r="A218" s="15"/>
      <c r="B218" s="15" t="str">
        <f>'Identificación y Evaluación'!$A$193</f>
        <v>Duración y Tamaño</v>
      </c>
      <c r="C218" s="15" t="str">
        <f>IF('Identificación y Evaluación'!H218="SI",'Identificación y Evaluación'!A218,"")</f>
        <v/>
      </c>
      <c r="D218" s="15">
        <f>'Identificación y Evaluación'!$G$235</f>
        <v>3</v>
      </c>
      <c r="E218" s="75"/>
      <c r="F218" s="76">
        <f t="shared" si="1"/>
        <v>0</v>
      </c>
    </row>
    <row r="219" ht="15.0" hidden="1" customHeight="1">
      <c r="A219" s="15"/>
      <c r="B219" s="15" t="str">
        <f>'Identificación y Evaluación'!$A$193</f>
        <v>Duración y Tamaño</v>
      </c>
      <c r="C219" s="15" t="str">
        <f>IF('Identificación y Evaluación'!H219="SI",'Identificación y Evaluación'!A219,"")</f>
        <v/>
      </c>
      <c r="D219" s="15">
        <f>'Identificación y Evaluación'!$G$235</f>
        <v>3</v>
      </c>
      <c r="E219" s="75"/>
      <c r="F219" s="76">
        <f t="shared" si="1"/>
        <v>0</v>
      </c>
    </row>
    <row r="220" ht="15.0" hidden="1" customHeight="1">
      <c r="A220" s="15"/>
      <c r="B220" s="15" t="str">
        <f>'Identificación y Evaluación'!$A$193</f>
        <v>Duración y Tamaño</v>
      </c>
      <c r="C220" s="15" t="str">
        <f>IF('Identificación y Evaluación'!H220="SI",'Identificación y Evaluación'!A220,"")</f>
        <v/>
      </c>
      <c r="D220" s="15">
        <f>'Identificación y Evaluación'!$G$235</f>
        <v>3</v>
      </c>
      <c r="E220" s="75"/>
      <c r="F220" s="76">
        <f t="shared" si="1"/>
        <v>0</v>
      </c>
    </row>
    <row r="221" ht="15.0" hidden="1" customHeight="1">
      <c r="A221" s="15"/>
      <c r="B221" s="15" t="str">
        <f>'Identificación y Evaluación'!$A$193</f>
        <v>Duración y Tamaño</v>
      </c>
      <c r="C221" s="15" t="str">
        <f>IF('Identificación y Evaluación'!H221="SI",'Identificación y Evaluación'!A221,"")</f>
        <v/>
      </c>
      <c r="D221" s="15">
        <f>'Identificación y Evaluación'!$G$235</f>
        <v>3</v>
      </c>
      <c r="E221" s="75"/>
      <c r="F221" s="76">
        <f t="shared" si="1"/>
        <v>0</v>
      </c>
    </row>
    <row r="222" ht="15.0" hidden="1" customHeight="1">
      <c r="A222" s="15"/>
      <c r="B222" s="15" t="str">
        <f>'Identificación y Evaluación'!$A$193</f>
        <v>Duración y Tamaño</v>
      </c>
      <c r="C222" s="15" t="str">
        <f>IF('Identificación y Evaluación'!H222="SI",'Identificación y Evaluación'!A222,"")</f>
        <v/>
      </c>
      <c r="D222" s="15">
        <f>'Identificación y Evaluación'!$G$235</f>
        <v>3</v>
      </c>
      <c r="E222" s="75"/>
      <c r="F222" s="76">
        <f t="shared" si="1"/>
        <v>0</v>
      </c>
    </row>
    <row r="223" ht="15.0" hidden="1" customHeight="1">
      <c r="A223" s="15"/>
      <c r="B223" s="15" t="str">
        <f>'Identificación y Evaluación'!$A$193</f>
        <v>Duración y Tamaño</v>
      </c>
      <c r="C223" s="15" t="str">
        <f>IF('Identificación y Evaluación'!H223="SI",'Identificación y Evaluación'!A223,"")</f>
        <v/>
      </c>
      <c r="D223" s="15">
        <f>'Identificación y Evaluación'!$G$235</f>
        <v>3</v>
      </c>
      <c r="E223" s="75"/>
      <c r="F223" s="76">
        <f t="shared" si="1"/>
        <v>0</v>
      </c>
    </row>
    <row r="224" ht="15.0" hidden="1" customHeight="1">
      <c r="A224" s="15"/>
      <c r="B224" s="15" t="str">
        <f>'Identificación y Evaluación'!$A$193</f>
        <v>Duración y Tamaño</v>
      </c>
      <c r="C224" s="15" t="str">
        <f>IF('Identificación y Evaluación'!H224="SI",'Identificación y Evaluación'!A224,"")</f>
        <v/>
      </c>
      <c r="D224" s="15">
        <f>'Identificación y Evaluación'!$G$235</f>
        <v>3</v>
      </c>
      <c r="E224" s="75"/>
      <c r="F224" s="76">
        <f t="shared" si="1"/>
        <v>0</v>
      </c>
    </row>
    <row r="225" ht="15.0" hidden="1" customHeight="1">
      <c r="A225" s="15"/>
      <c r="B225" s="15" t="str">
        <f>'Identificación y Evaluación'!$A$193</f>
        <v>Duración y Tamaño</v>
      </c>
      <c r="C225" s="15" t="str">
        <f>IF('Identificación y Evaluación'!H225="SI",'Identificación y Evaluación'!A225,"")</f>
        <v/>
      </c>
      <c r="D225" s="15">
        <f>'Identificación y Evaluación'!$G$235</f>
        <v>3</v>
      </c>
      <c r="E225" s="75"/>
      <c r="F225" s="76">
        <f t="shared" si="1"/>
        <v>0</v>
      </c>
    </row>
    <row r="226" ht="15.0" hidden="1" customHeight="1">
      <c r="A226" s="15"/>
      <c r="B226" s="15" t="str">
        <f>'Identificación y Evaluación'!$A$193</f>
        <v>Duración y Tamaño</v>
      </c>
      <c r="C226" s="15" t="str">
        <f>IF('Identificación y Evaluación'!H226="SI",'Identificación y Evaluación'!A226,"")</f>
        <v/>
      </c>
      <c r="D226" s="15">
        <f>'Identificación y Evaluación'!$G$235</f>
        <v>3</v>
      </c>
      <c r="E226" s="75"/>
      <c r="F226" s="76">
        <f t="shared" si="1"/>
        <v>0</v>
      </c>
    </row>
    <row r="227" ht="15.0" hidden="1" customHeight="1">
      <c r="A227" s="15"/>
      <c r="B227" s="15" t="str">
        <f>'Identificación y Evaluación'!$A$193</f>
        <v>Duración y Tamaño</v>
      </c>
      <c r="C227" s="15" t="str">
        <f>IF('Identificación y Evaluación'!H227="SI",'Identificación y Evaluación'!A227,"")</f>
        <v/>
      </c>
      <c r="D227" s="15">
        <f>'Identificación y Evaluación'!$G$235</f>
        <v>3</v>
      </c>
      <c r="E227" s="75"/>
      <c r="F227" s="76">
        <f t="shared" si="1"/>
        <v>0</v>
      </c>
    </row>
    <row r="228" ht="15.0" hidden="1" customHeight="1">
      <c r="A228" s="15"/>
      <c r="B228" s="15" t="str">
        <f>'Identificación y Evaluación'!$A$193</f>
        <v>Duración y Tamaño</v>
      </c>
      <c r="C228" s="15" t="str">
        <f>IF('Identificación y Evaluación'!H228="SI",'Identificación y Evaluación'!A228,"")</f>
        <v/>
      </c>
      <c r="D228" s="15">
        <f>'Identificación y Evaluación'!$G$235</f>
        <v>3</v>
      </c>
      <c r="E228" s="75"/>
      <c r="F228" s="76">
        <f t="shared" si="1"/>
        <v>0</v>
      </c>
    </row>
    <row r="229" ht="15.0" hidden="1" customHeight="1">
      <c r="A229" s="15"/>
      <c r="B229" s="15" t="str">
        <f>'Identificación y Evaluación'!$A$193</f>
        <v>Duración y Tamaño</v>
      </c>
      <c r="C229" s="15" t="str">
        <f>IF('Identificación y Evaluación'!H229="SI",'Identificación y Evaluación'!A229,"")</f>
        <v/>
      </c>
      <c r="D229" s="15">
        <f>'Identificación y Evaluación'!$G$235</f>
        <v>3</v>
      </c>
      <c r="E229" s="75"/>
      <c r="F229" s="76">
        <f t="shared" si="1"/>
        <v>0</v>
      </c>
    </row>
    <row r="230" ht="15.0" hidden="1" customHeight="1">
      <c r="A230" s="15"/>
      <c r="B230" s="15" t="str">
        <f>'Identificación y Evaluación'!$A$193</f>
        <v>Duración y Tamaño</v>
      </c>
      <c r="C230" s="15" t="str">
        <f>IF('Identificación y Evaluación'!H230="SI",'Identificación y Evaluación'!A230,"")</f>
        <v/>
      </c>
      <c r="D230" s="15">
        <f>'Identificación y Evaluación'!$G$235</f>
        <v>3</v>
      </c>
      <c r="E230" s="75"/>
      <c r="F230" s="76">
        <f t="shared" si="1"/>
        <v>0</v>
      </c>
    </row>
    <row r="231" ht="15.0" hidden="1" customHeight="1">
      <c r="A231" s="15"/>
      <c r="B231" s="15" t="str">
        <f>'Identificación y Evaluación'!$A$193</f>
        <v>Duración y Tamaño</v>
      </c>
      <c r="C231" s="15" t="str">
        <f>IF('Identificación y Evaluación'!H231="SI",'Identificación y Evaluación'!A231,"")</f>
        <v/>
      </c>
      <c r="D231" s="15">
        <f>'Identificación y Evaluación'!$G$235</f>
        <v>3</v>
      </c>
      <c r="E231" s="75"/>
      <c r="F231" s="76">
        <f t="shared" si="1"/>
        <v>0</v>
      </c>
    </row>
    <row r="232" ht="15.0" hidden="1" customHeight="1">
      <c r="A232" s="15"/>
      <c r="B232" s="15" t="str">
        <f>'Identificación y Evaluación'!$A$193</f>
        <v>Duración y Tamaño</v>
      </c>
      <c r="C232" s="15" t="str">
        <f>IF('Identificación y Evaluación'!H232="SI",'Identificación y Evaluación'!A232,"")</f>
        <v/>
      </c>
      <c r="D232" s="15">
        <f>'Identificación y Evaluación'!$G$235</f>
        <v>3</v>
      </c>
      <c r="E232" s="75"/>
      <c r="F232" s="76">
        <f t="shared" si="1"/>
        <v>0</v>
      </c>
    </row>
    <row r="233" ht="15.0" hidden="1" customHeight="1">
      <c r="A233" s="15"/>
      <c r="B233" s="15" t="str">
        <f>'Identificación y Evaluación'!$A$193</f>
        <v>Duración y Tamaño</v>
      </c>
      <c r="C233" s="15" t="str">
        <f>IF('Identificación y Evaluación'!H233="SI",'Identificación y Evaluación'!A233,"")</f>
        <v/>
      </c>
      <c r="D233" s="15">
        <f>'Identificación y Evaluación'!$G$235</f>
        <v>3</v>
      </c>
      <c r="E233" s="75"/>
      <c r="F233" s="76">
        <f t="shared" si="1"/>
        <v>0</v>
      </c>
    </row>
    <row r="234" ht="15.0" hidden="1" customHeight="1">
      <c r="A234" s="15"/>
      <c r="B234" s="15" t="str">
        <f>'Identificación y Evaluación'!$A$193</f>
        <v>Duración y Tamaño</v>
      </c>
      <c r="C234" s="15" t="str">
        <f>IF('Identificación y Evaluación'!H234="SI",'Identificación y Evaluación'!A234,"")</f>
        <v/>
      </c>
      <c r="D234" s="15">
        <f>'Identificación y Evaluación'!$G$235</f>
        <v>3</v>
      </c>
      <c r="E234" s="75"/>
      <c r="F234" s="76">
        <f t="shared" si="1"/>
        <v>0</v>
      </c>
    </row>
    <row r="235" ht="15.0" hidden="1" customHeight="1">
      <c r="A235" s="15"/>
      <c r="B235" s="15" t="str">
        <f>'Identificación y Evaluación'!$A$193</f>
        <v>Duración y Tamaño</v>
      </c>
      <c r="C235" s="15" t="str">
        <f>IF('Identificación y Evaluación'!H235="SI",'Identificación y Evaluación'!A235,"")</f>
        <v/>
      </c>
      <c r="D235" s="15">
        <f>'Identificación y Evaluación'!$G$235</f>
        <v>3</v>
      </c>
      <c r="E235" s="75"/>
      <c r="F235" s="76">
        <f t="shared" si="1"/>
        <v>0</v>
      </c>
    </row>
    <row r="236" ht="15.0" hidden="1" customHeight="1">
      <c r="A236" s="15"/>
      <c r="B236" s="15" t="str">
        <f>'Identificación y Evaluación'!$A$193</f>
        <v>Duración y Tamaño</v>
      </c>
      <c r="C236" s="15" t="str">
        <f>IF('Identificación y Evaluación'!H236="SI",'Identificación y Evaluación'!A236,"")</f>
        <v/>
      </c>
      <c r="D236" s="15">
        <f>'Identificación y Evaluación'!$G$235</f>
        <v>3</v>
      </c>
      <c r="E236" s="75"/>
      <c r="F236" s="76">
        <f t="shared" si="1"/>
        <v>0</v>
      </c>
    </row>
    <row r="237" ht="15.0" hidden="1" customHeight="1">
      <c r="A237" s="15"/>
      <c r="B237" s="15" t="str">
        <f>'Identificación y Evaluación'!$A$193</f>
        <v>Duración y Tamaño</v>
      </c>
      <c r="C237" s="15" t="str">
        <f>IF('Identificación y Evaluación'!H237="SI",'Identificación y Evaluación'!A237,"")</f>
        <v/>
      </c>
      <c r="D237" s="15">
        <f>'Identificación y Evaluación'!$G$235</f>
        <v>3</v>
      </c>
      <c r="E237" s="75"/>
      <c r="F237" s="76">
        <f t="shared" si="1"/>
        <v>0</v>
      </c>
    </row>
    <row r="238" ht="15.0" hidden="1" customHeight="1">
      <c r="A238" s="15"/>
      <c r="B238" s="15" t="str">
        <f>'Identificación y Evaluación'!$A$193</f>
        <v>Duración y Tamaño</v>
      </c>
      <c r="C238" s="15" t="str">
        <f>IF('Identificación y Evaluación'!H238="SI",'Identificación y Evaluación'!A238,"")</f>
        <v/>
      </c>
      <c r="D238" s="15">
        <f>'Identificación y Evaluación'!$G$235</f>
        <v>3</v>
      </c>
      <c r="E238" s="75"/>
      <c r="F238" s="76">
        <f t="shared" si="1"/>
        <v>0</v>
      </c>
    </row>
    <row r="239" ht="15.0" hidden="1" customHeight="1">
      <c r="A239" s="15"/>
      <c r="B239" s="15" t="str">
        <f>'Identificación y Evaluación'!$A$193</f>
        <v>Duración y Tamaño</v>
      </c>
      <c r="C239" s="15" t="str">
        <f>IF('Identificación y Evaluación'!H239="SI",'Identificación y Evaluación'!A239,"")</f>
        <v/>
      </c>
      <c r="D239" s="15">
        <f>'Identificación y Evaluación'!$G$235</f>
        <v>3</v>
      </c>
      <c r="E239" s="75"/>
      <c r="F239" s="76">
        <f t="shared" si="1"/>
        <v>0</v>
      </c>
    </row>
    <row r="240" ht="15.0" hidden="1" customHeight="1">
      <c r="A240" s="15"/>
      <c r="B240" s="15" t="str">
        <f>'Identificación y Evaluación'!$A$193</f>
        <v>Duración y Tamaño</v>
      </c>
      <c r="C240" s="15" t="str">
        <f>IF('Identificación y Evaluación'!H240="SI",'Identificación y Evaluación'!A240,"")</f>
        <v/>
      </c>
      <c r="D240" s="15">
        <f>'Identificación y Evaluación'!$G$235</f>
        <v>3</v>
      </c>
      <c r="E240" s="75"/>
      <c r="F240" s="76">
        <f t="shared" si="1"/>
        <v>0</v>
      </c>
    </row>
    <row r="241" ht="15.0" hidden="1" customHeight="1">
      <c r="A241" s="15"/>
      <c r="B241" s="15" t="str">
        <f>'Identificación y Evaluación'!$A$241</f>
        <v>Legal y Contractual</v>
      </c>
      <c r="C241" s="15" t="str">
        <f>IF('Identificación y Evaluación'!H241="SI",'Identificación y Evaluación'!A241,"")</f>
        <v/>
      </c>
      <c r="D241" s="15">
        <f>'Identificación y Evaluación'!$G$283</f>
        <v>3</v>
      </c>
      <c r="E241" s="75"/>
      <c r="F241" s="76">
        <f t="shared" si="1"/>
        <v>0</v>
      </c>
    </row>
    <row r="242" ht="15.75" hidden="1" customHeight="1">
      <c r="A242" s="15"/>
      <c r="B242" s="15" t="str">
        <f>'Identificación y Evaluación'!$A$241</f>
        <v>Legal y Contractual</v>
      </c>
      <c r="C242" s="15" t="str">
        <f>IF('Identificación y Evaluación'!H242="SI",'Identificación y Evaluación'!A242,"")</f>
        <v/>
      </c>
      <c r="D242" s="15">
        <f>'Identificación y Evaluación'!$G$283</f>
        <v>3</v>
      </c>
      <c r="E242" s="75"/>
      <c r="F242" s="76">
        <f t="shared" si="1"/>
        <v>0</v>
      </c>
    </row>
    <row r="243" ht="15.75" hidden="1" customHeight="1">
      <c r="A243" s="15"/>
      <c r="B243" s="15" t="str">
        <f>'Identificación y Evaluación'!$A$241</f>
        <v>Legal y Contractual</v>
      </c>
      <c r="C243" s="15" t="str">
        <f>IF('Identificación y Evaluación'!H243="SI",'Identificación y Evaluación'!A243,"")</f>
        <v/>
      </c>
      <c r="D243" s="15">
        <f>'Identificación y Evaluación'!$G$283</f>
        <v>3</v>
      </c>
      <c r="E243" s="75"/>
      <c r="F243" s="76">
        <f t="shared" si="1"/>
        <v>0</v>
      </c>
    </row>
    <row r="244" ht="15.75" hidden="1" customHeight="1">
      <c r="A244" s="15"/>
      <c r="B244" s="15" t="str">
        <f>'Identificación y Evaluación'!$A$241</f>
        <v>Legal y Contractual</v>
      </c>
      <c r="C244" s="15" t="str">
        <f>IF('Identificación y Evaluación'!H244="SI",'Identificación y Evaluación'!A244,"")</f>
        <v/>
      </c>
      <c r="D244" s="15">
        <f>'Identificación y Evaluación'!$G$283</f>
        <v>3</v>
      </c>
      <c r="E244" s="75"/>
      <c r="F244" s="76">
        <f t="shared" si="1"/>
        <v>0</v>
      </c>
    </row>
    <row r="245" ht="15.0" hidden="1" customHeight="1">
      <c r="A245" s="15"/>
      <c r="B245" s="15" t="str">
        <f>'Identificación y Evaluación'!$A$241</f>
        <v>Legal y Contractual</v>
      </c>
      <c r="C245" s="15" t="str">
        <f>IF('Identificación y Evaluación'!H245="SI",'Identificación y Evaluación'!A245,"")</f>
        <v/>
      </c>
      <c r="D245" s="15">
        <f>'Identificación y Evaluación'!$G$283</f>
        <v>3</v>
      </c>
      <c r="E245" s="75"/>
      <c r="F245" s="76">
        <f t="shared" si="1"/>
        <v>0</v>
      </c>
    </row>
    <row r="246" ht="15.75" hidden="1" customHeight="1">
      <c r="A246" s="15"/>
      <c r="B246" s="15" t="str">
        <f>'Identificación y Evaluación'!$A$241</f>
        <v>Legal y Contractual</v>
      </c>
      <c r="C246" s="15" t="str">
        <f>IF('Identificación y Evaluación'!H246="SI",'Identificación y Evaluación'!A246,"")</f>
        <v/>
      </c>
      <c r="D246" s="15">
        <f>'Identificación y Evaluación'!$G$283</f>
        <v>3</v>
      </c>
      <c r="E246" s="75"/>
      <c r="F246" s="76">
        <f t="shared" si="1"/>
        <v>0</v>
      </c>
    </row>
    <row r="247" ht="15.75" hidden="1" customHeight="1">
      <c r="A247" s="15"/>
      <c r="B247" s="15" t="str">
        <f>'Identificación y Evaluación'!$A$241</f>
        <v>Legal y Contractual</v>
      </c>
      <c r="C247" s="15" t="str">
        <f>IF('Identificación y Evaluación'!H247="SI",'Identificación y Evaluación'!A247,"")</f>
        <v/>
      </c>
      <c r="D247" s="15">
        <f>'Identificación y Evaluación'!$G$283</f>
        <v>3</v>
      </c>
      <c r="E247" s="75"/>
      <c r="F247" s="76">
        <f t="shared" si="1"/>
        <v>0</v>
      </c>
    </row>
    <row r="248" ht="15.75" hidden="1" customHeight="1">
      <c r="A248" s="15"/>
      <c r="B248" s="15" t="str">
        <f>'Identificación y Evaluación'!$A$241</f>
        <v>Legal y Contractual</v>
      </c>
      <c r="C248" s="15" t="str">
        <f>IF('Identificación y Evaluación'!H248="SI",'Identificación y Evaluación'!A248,"")</f>
        <v/>
      </c>
      <c r="D248" s="15">
        <f>'Identificación y Evaluación'!$G$283</f>
        <v>3</v>
      </c>
      <c r="E248" s="75"/>
      <c r="F248" s="76">
        <f t="shared" si="1"/>
        <v>0</v>
      </c>
    </row>
    <row r="249" ht="15.0" hidden="1" customHeight="1">
      <c r="A249" s="15"/>
      <c r="B249" s="15" t="str">
        <f>'Identificación y Evaluación'!$A$241</f>
        <v>Legal y Contractual</v>
      </c>
      <c r="C249" s="15" t="str">
        <f>IF('Identificación y Evaluación'!H249="SI",'Identificación y Evaluación'!A249,"")</f>
        <v/>
      </c>
      <c r="D249" s="15">
        <f>'Identificación y Evaluación'!$G$283</f>
        <v>3</v>
      </c>
      <c r="E249" s="75"/>
      <c r="F249" s="76">
        <f t="shared" si="1"/>
        <v>0</v>
      </c>
    </row>
    <row r="250" ht="15.0" hidden="1" customHeight="1">
      <c r="A250" s="15"/>
      <c r="B250" s="15" t="str">
        <f>'Identificación y Evaluación'!$A$241</f>
        <v>Legal y Contractual</v>
      </c>
      <c r="C250" s="15" t="str">
        <f>IF('Identificación y Evaluación'!H250="SI",'Identificación y Evaluación'!A250,"")</f>
        <v/>
      </c>
      <c r="D250" s="15">
        <f>'Identificación y Evaluación'!$G$283</f>
        <v>3</v>
      </c>
      <c r="E250" s="75"/>
      <c r="F250" s="76">
        <f t="shared" si="1"/>
        <v>0</v>
      </c>
    </row>
    <row r="251" ht="15.0" hidden="1" customHeight="1">
      <c r="A251" s="15"/>
      <c r="B251" s="15" t="str">
        <f>'Identificación y Evaluación'!$A$241</f>
        <v>Legal y Contractual</v>
      </c>
      <c r="C251" s="15" t="str">
        <f>IF('Identificación y Evaluación'!H251="SI",'Identificación y Evaluación'!A251,"")</f>
        <v/>
      </c>
      <c r="D251" s="15">
        <f>'Identificación y Evaluación'!$G$283</f>
        <v>3</v>
      </c>
      <c r="E251" s="75"/>
      <c r="F251" s="76">
        <f t="shared" si="1"/>
        <v>0</v>
      </c>
    </row>
    <row r="252" ht="15.0" hidden="1" customHeight="1">
      <c r="A252" s="15"/>
      <c r="B252" s="15" t="str">
        <f>'Identificación y Evaluación'!$A$241</f>
        <v>Legal y Contractual</v>
      </c>
      <c r="C252" s="15" t="str">
        <f>IF('Identificación y Evaluación'!H252="SI",'Identificación y Evaluación'!A252,"")</f>
        <v/>
      </c>
      <c r="D252" s="15">
        <f>'Identificación y Evaluación'!$G$283</f>
        <v>3</v>
      </c>
      <c r="E252" s="75"/>
      <c r="F252" s="76">
        <f t="shared" si="1"/>
        <v>0</v>
      </c>
    </row>
    <row r="253" ht="15.0" hidden="1" customHeight="1">
      <c r="A253" s="15"/>
      <c r="B253" s="15" t="str">
        <f>'Identificación y Evaluación'!$A$241</f>
        <v>Legal y Contractual</v>
      </c>
      <c r="C253" s="15" t="str">
        <f>IF('Identificación y Evaluación'!H253="SI",'Identificación y Evaluación'!A253,"")</f>
        <v/>
      </c>
      <c r="D253" s="15">
        <f>'Identificación y Evaluación'!$G$283</f>
        <v>3</v>
      </c>
      <c r="E253" s="75"/>
      <c r="F253" s="76">
        <f t="shared" si="1"/>
        <v>0</v>
      </c>
    </row>
    <row r="254" ht="15.0" hidden="1" customHeight="1">
      <c r="A254" s="15"/>
      <c r="B254" s="15" t="str">
        <f>'Identificación y Evaluación'!$A$241</f>
        <v>Legal y Contractual</v>
      </c>
      <c r="C254" s="15" t="str">
        <f>IF('Identificación y Evaluación'!H254="SI",'Identificación y Evaluación'!A254,"")</f>
        <v/>
      </c>
      <c r="D254" s="15">
        <f>'Identificación y Evaluación'!$G$283</f>
        <v>3</v>
      </c>
      <c r="E254" s="75"/>
      <c r="F254" s="76">
        <f t="shared" si="1"/>
        <v>0</v>
      </c>
    </row>
    <row r="255" ht="15.0" hidden="1" customHeight="1">
      <c r="A255" s="15"/>
      <c r="B255" s="15" t="str">
        <f>'Identificación y Evaluación'!$A$241</f>
        <v>Legal y Contractual</v>
      </c>
      <c r="C255" s="15" t="str">
        <f>IF('Identificación y Evaluación'!H255="SI",'Identificación y Evaluación'!A255,"")</f>
        <v/>
      </c>
      <c r="D255" s="15">
        <f>'Identificación y Evaluación'!$G$283</f>
        <v>3</v>
      </c>
      <c r="E255" s="75"/>
      <c r="F255" s="76">
        <f t="shared" si="1"/>
        <v>0</v>
      </c>
    </row>
    <row r="256" ht="15.0" hidden="1" customHeight="1">
      <c r="A256" s="15"/>
      <c r="B256" s="15" t="str">
        <f>'Identificación y Evaluación'!$A$241</f>
        <v>Legal y Contractual</v>
      </c>
      <c r="C256" s="15" t="str">
        <f>IF('Identificación y Evaluación'!H256="SI",'Identificación y Evaluación'!A256,"")</f>
        <v/>
      </c>
      <c r="D256" s="15">
        <f>'Identificación y Evaluación'!$G$283</f>
        <v>3</v>
      </c>
      <c r="E256" s="75"/>
      <c r="F256" s="76">
        <f t="shared" si="1"/>
        <v>0</v>
      </c>
    </row>
    <row r="257" ht="15.0" hidden="1" customHeight="1">
      <c r="A257" s="15"/>
      <c r="B257" s="15" t="str">
        <f>'Identificación y Evaluación'!$A$241</f>
        <v>Legal y Contractual</v>
      </c>
      <c r="C257" s="15" t="str">
        <f>IF('Identificación y Evaluación'!H257="SI",'Identificación y Evaluación'!A257,"")</f>
        <v/>
      </c>
      <c r="D257" s="15">
        <f>'Identificación y Evaluación'!$G$283</f>
        <v>3</v>
      </c>
      <c r="E257" s="75"/>
      <c r="F257" s="76">
        <f t="shared" si="1"/>
        <v>0</v>
      </c>
    </row>
    <row r="258" ht="15.0" hidden="1" customHeight="1">
      <c r="A258" s="15"/>
      <c r="B258" s="15" t="str">
        <f>'Identificación y Evaluación'!$A$241</f>
        <v>Legal y Contractual</v>
      </c>
      <c r="C258" s="15" t="str">
        <f>IF('Identificación y Evaluación'!H258="SI",'Identificación y Evaluación'!A258,"")</f>
        <v/>
      </c>
      <c r="D258" s="15">
        <f>'Identificación y Evaluación'!$G$283</f>
        <v>3</v>
      </c>
      <c r="E258" s="75"/>
      <c r="F258" s="76">
        <f t="shared" si="1"/>
        <v>0</v>
      </c>
    </row>
    <row r="259" ht="15.0" hidden="1" customHeight="1">
      <c r="A259" s="15"/>
      <c r="B259" s="15" t="str">
        <f>'Identificación y Evaluación'!$A$241</f>
        <v>Legal y Contractual</v>
      </c>
      <c r="C259" s="15" t="str">
        <f>IF('Identificación y Evaluación'!H259="SI",'Identificación y Evaluación'!A259,"")</f>
        <v/>
      </c>
      <c r="D259" s="15">
        <f>'Identificación y Evaluación'!$G$283</f>
        <v>3</v>
      </c>
      <c r="E259" s="75"/>
      <c r="F259" s="76">
        <f t="shared" si="1"/>
        <v>0</v>
      </c>
    </row>
    <row r="260" ht="15.0" hidden="1" customHeight="1">
      <c r="A260" s="15"/>
      <c r="B260" s="15" t="str">
        <f>'Identificación y Evaluación'!$A$241</f>
        <v>Legal y Contractual</v>
      </c>
      <c r="C260" s="15" t="str">
        <f>IF('Identificación y Evaluación'!H260="SI",'Identificación y Evaluación'!A260,"")</f>
        <v/>
      </c>
      <c r="D260" s="15">
        <f>'Identificación y Evaluación'!$G$283</f>
        <v>3</v>
      </c>
      <c r="E260" s="75"/>
      <c r="F260" s="76">
        <f t="shared" si="1"/>
        <v>0</v>
      </c>
    </row>
    <row r="261" ht="15.0" hidden="1" customHeight="1">
      <c r="A261" s="15"/>
      <c r="B261" s="15" t="str">
        <f>'Identificación y Evaluación'!$A$241</f>
        <v>Legal y Contractual</v>
      </c>
      <c r="C261" s="15" t="str">
        <f>IF('Identificación y Evaluación'!H261="SI",'Identificación y Evaluación'!A261,"")</f>
        <v/>
      </c>
      <c r="D261" s="15">
        <f>'Identificación y Evaluación'!$G$283</f>
        <v>3</v>
      </c>
      <c r="E261" s="75"/>
      <c r="F261" s="76">
        <f t="shared" si="1"/>
        <v>0</v>
      </c>
    </row>
    <row r="262" ht="15.0" hidden="1" customHeight="1">
      <c r="A262" s="15"/>
      <c r="B262" s="15" t="str">
        <f>'Identificación y Evaluación'!$A$241</f>
        <v>Legal y Contractual</v>
      </c>
      <c r="C262" s="15" t="str">
        <f>IF('Identificación y Evaluación'!H262="SI",'Identificación y Evaluación'!A262,"")</f>
        <v/>
      </c>
      <c r="D262" s="15">
        <f>'Identificación y Evaluación'!$G$283</f>
        <v>3</v>
      </c>
      <c r="E262" s="75"/>
      <c r="F262" s="76">
        <f t="shared" si="1"/>
        <v>0</v>
      </c>
    </row>
    <row r="263" ht="15.0" hidden="1" customHeight="1">
      <c r="A263" s="15"/>
      <c r="B263" s="15" t="str">
        <f>'Identificación y Evaluación'!$A$241</f>
        <v>Legal y Contractual</v>
      </c>
      <c r="C263" s="15" t="str">
        <f>IF('Identificación y Evaluación'!H263="SI",'Identificación y Evaluación'!A263,"")</f>
        <v/>
      </c>
      <c r="D263" s="15">
        <f>'Identificación y Evaluación'!$G$283</f>
        <v>3</v>
      </c>
      <c r="E263" s="75"/>
      <c r="F263" s="76">
        <f t="shared" si="1"/>
        <v>0</v>
      </c>
    </row>
    <row r="264" ht="15.0" hidden="1" customHeight="1">
      <c r="A264" s="15"/>
      <c r="B264" s="15" t="str">
        <f>'Identificación y Evaluación'!$A$241</f>
        <v>Legal y Contractual</v>
      </c>
      <c r="C264" s="15" t="str">
        <f>IF('Identificación y Evaluación'!H264="SI",'Identificación y Evaluación'!A264,"")</f>
        <v/>
      </c>
      <c r="D264" s="15">
        <f>'Identificación y Evaluación'!$G$283</f>
        <v>3</v>
      </c>
      <c r="E264" s="75"/>
      <c r="F264" s="76">
        <f t="shared" si="1"/>
        <v>0</v>
      </c>
    </row>
    <row r="265" ht="15.0" hidden="1" customHeight="1">
      <c r="A265" s="15"/>
      <c r="B265" s="15" t="str">
        <f>'Identificación y Evaluación'!$A$241</f>
        <v>Legal y Contractual</v>
      </c>
      <c r="C265" s="15" t="str">
        <f>IF('Identificación y Evaluación'!H265="SI",'Identificación y Evaluación'!A265,"")</f>
        <v/>
      </c>
      <c r="D265" s="15">
        <f>'Identificación y Evaluación'!$G$283</f>
        <v>3</v>
      </c>
      <c r="E265" s="75"/>
      <c r="F265" s="76">
        <f t="shared" si="1"/>
        <v>0</v>
      </c>
    </row>
    <row r="266" ht="15.0" hidden="1" customHeight="1">
      <c r="A266" s="15"/>
      <c r="B266" s="15" t="str">
        <f>'Identificación y Evaluación'!$A$241</f>
        <v>Legal y Contractual</v>
      </c>
      <c r="C266" s="15" t="str">
        <f>IF('Identificación y Evaluación'!H266="SI",'Identificación y Evaluación'!A266,"")</f>
        <v/>
      </c>
      <c r="D266" s="15">
        <f>'Identificación y Evaluación'!$G$283</f>
        <v>3</v>
      </c>
      <c r="E266" s="75"/>
      <c r="F266" s="76">
        <f t="shared" si="1"/>
        <v>0</v>
      </c>
    </row>
    <row r="267" ht="15.0" hidden="1" customHeight="1">
      <c r="A267" s="15"/>
      <c r="B267" s="15" t="str">
        <f>'Identificación y Evaluación'!$A$241</f>
        <v>Legal y Contractual</v>
      </c>
      <c r="C267" s="15" t="str">
        <f>IF('Identificación y Evaluación'!H267="SI",'Identificación y Evaluación'!A267,"")</f>
        <v/>
      </c>
      <c r="D267" s="15">
        <f>'Identificación y Evaluación'!$G$283</f>
        <v>3</v>
      </c>
      <c r="E267" s="75"/>
      <c r="F267" s="76">
        <f t="shared" si="1"/>
        <v>0</v>
      </c>
    </row>
    <row r="268" ht="15.0" hidden="1" customHeight="1">
      <c r="A268" s="15"/>
      <c r="B268" s="15" t="str">
        <f>'Identificación y Evaluación'!$A$241</f>
        <v>Legal y Contractual</v>
      </c>
      <c r="C268" s="15" t="str">
        <f>IF('Identificación y Evaluación'!H268="SI",'Identificación y Evaluación'!A268,"")</f>
        <v/>
      </c>
      <c r="D268" s="15">
        <f>'Identificación y Evaluación'!$G$283</f>
        <v>3</v>
      </c>
      <c r="E268" s="75"/>
      <c r="F268" s="76">
        <f t="shared" si="1"/>
        <v>0</v>
      </c>
    </row>
    <row r="269" ht="15.0" hidden="1" customHeight="1">
      <c r="A269" s="15"/>
      <c r="B269" s="15" t="str">
        <f>'Identificación y Evaluación'!$A$241</f>
        <v>Legal y Contractual</v>
      </c>
      <c r="C269" s="15" t="str">
        <f>IF('Identificación y Evaluación'!H269="SI",'Identificación y Evaluación'!A269,"")</f>
        <v/>
      </c>
      <c r="D269" s="15">
        <f>'Identificación y Evaluación'!$G$283</f>
        <v>3</v>
      </c>
      <c r="E269" s="75"/>
      <c r="F269" s="76">
        <f t="shared" si="1"/>
        <v>0</v>
      </c>
    </row>
    <row r="270" ht="15.0" hidden="1" customHeight="1">
      <c r="A270" s="15"/>
      <c r="B270" s="15" t="str">
        <f>'Identificación y Evaluación'!$A$241</f>
        <v>Legal y Contractual</v>
      </c>
      <c r="C270" s="15" t="str">
        <f>IF('Identificación y Evaluación'!H270="SI",'Identificación y Evaluación'!A270,"")</f>
        <v/>
      </c>
      <c r="D270" s="15">
        <f>'Identificación y Evaluación'!$G$283</f>
        <v>3</v>
      </c>
      <c r="E270" s="75"/>
      <c r="F270" s="76">
        <f t="shared" si="1"/>
        <v>0</v>
      </c>
    </row>
    <row r="271" ht="15.0" hidden="1" customHeight="1">
      <c r="A271" s="15"/>
      <c r="B271" s="15" t="str">
        <f>'Identificación y Evaluación'!$A$241</f>
        <v>Legal y Contractual</v>
      </c>
      <c r="C271" s="15" t="str">
        <f>IF('Identificación y Evaluación'!H271="SI",'Identificación y Evaluación'!A271,"")</f>
        <v/>
      </c>
      <c r="D271" s="15">
        <f>'Identificación y Evaluación'!$G$283</f>
        <v>3</v>
      </c>
      <c r="E271" s="75"/>
      <c r="F271" s="76">
        <f t="shared" si="1"/>
        <v>0</v>
      </c>
    </row>
    <row r="272" ht="15.0" hidden="1" customHeight="1">
      <c r="A272" s="15"/>
      <c r="B272" s="15" t="str">
        <f>'Identificación y Evaluación'!$A$241</f>
        <v>Legal y Contractual</v>
      </c>
      <c r="C272" s="15" t="str">
        <f>IF('Identificación y Evaluación'!H272="SI",'Identificación y Evaluación'!A272,"")</f>
        <v/>
      </c>
      <c r="D272" s="15">
        <f>'Identificación y Evaluación'!$G$283</f>
        <v>3</v>
      </c>
      <c r="E272" s="75"/>
      <c r="F272" s="76">
        <f t="shared" si="1"/>
        <v>0</v>
      </c>
    </row>
    <row r="273" ht="15.0" hidden="1" customHeight="1">
      <c r="A273" s="15"/>
      <c r="B273" s="15" t="str">
        <f>'Identificación y Evaluación'!$A$241</f>
        <v>Legal y Contractual</v>
      </c>
      <c r="C273" s="15" t="str">
        <f>IF('Identificación y Evaluación'!H273="SI",'Identificación y Evaluación'!A273,"")</f>
        <v/>
      </c>
      <c r="D273" s="15">
        <f>'Identificación y Evaluación'!$G$283</f>
        <v>3</v>
      </c>
      <c r="E273" s="75"/>
      <c r="F273" s="76">
        <f t="shared" si="1"/>
        <v>0</v>
      </c>
    </row>
    <row r="274" ht="15.0" hidden="1" customHeight="1">
      <c r="A274" s="15"/>
      <c r="B274" s="15" t="str">
        <f>'Identificación y Evaluación'!$A$241</f>
        <v>Legal y Contractual</v>
      </c>
      <c r="C274" s="15" t="str">
        <f>IF('Identificación y Evaluación'!H274="SI",'Identificación y Evaluación'!A274,"")</f>
        <v/>
      </c>
      <c r="D274" s="15">
        <f>'Identificación y Evaluación'!$G$283</f>
        <v>3</v>
      </c>
      <c r="E274" s="75"/>
      <c r="F274" s="76">
        <f t="shared" si="1"/>
        <v>0</v>
      </c>
    </row>
    <row r="275" ht="15.0" hidden="1" customHeight="1">
      <c r="A275" s="15"/>
      <c r="B275" s="15" t="str">
        <f>'Identificación y Evaluación'!$A$241</f>
        <v>Legal y Contractual</v>
      </c>
      <c r="C275" s="15" t="str">
        <f>IF('Identificación y Evaluación'!H275="SI",'Identificación y Evaluación'!A275,"")</f>
        <v/>
      </c>
      <c r="D275" s="15">
        <f>'Identificación y Evaluación'!$G$283</f>
        <v>3</v>
      </c>
      <c r="E275" s="75"/>
      <c r="F275" s="76">
        <f t="shared" si="1"/>
        <v>0</v>
      </c>
    </row>
    <row r="276" ht="15.0" hidden="1" customHeight="1">
      <c r="A276" s="15"/>
      <c r="B276" s="15" t="str">
        <f>'Identificación y Evaluación'!$A$241</f>
        <v>Legal y Contractual</v>
      </c>
      <c r="C276" s="15" t="str">
        <f>IF('Identificación y Evaluación'!H276="SI",'Identificación y Evaluación'!A276,"")</f>
        <v/>
      </c>
      <c r="D276" s="15">
        <f>'Identificación y Evaluación'!$G$283</f>
        <v>3</v>
      </c>
      <c r="E276" s="75"/>
      <c r="F276" s="76">
        <f t="shared" si="1"/>
        <v>0</v>
      </c>
    </row>
    <row r="277" ht="15.0" hidden="1" customHeight="1">
      <c r="A277" s="15"/>
      <c r="B277" s="15" t="str">
        <f>'Identificación y Evaluación'!$A$241</f>
        <v>Legal y Contractual</v>
      </c>
      <c r="C277" s="15" t="str">
        <f>IF('Identificación y Evaluación'!H277="SI",'Identificación y Evaluación'!A277,"")</f>
        <v/>
      </c>
      <c r="D277" s="15">
        <f>'Identificación y Evaluación'!$G$283</f>
        <v>3</v>
      </c>
      <c r="E277" s="75"/>
      <c r="F277" s="76">
        <f t="shared" si="1"/>
        <v>0</v>
      </c>
    </row>
    <row r="278" ht="15.0" hidden="1" customHeight="1">
      <c r="A278" s="15"/>
      <c r="B278" s="15" t="str">
        <f>'Identificación y Evaluación'!$A$241</f>
        <v>Legal y Contractual</v>
      </c>
      <c r="C278" s="15" t="str">
        <f>IF('Identificación y Evaluación'!H278="SI",'Identificación y Evaluación'!A278,"")</f>
        <v/>
      </c>
      <c r="D278" s="15">
        <f>'Identificación y Evaluación'!$G$283</f>
        <v>3</v>
      </c>
      <c r="E278" s="75"/>
      <c r="F278" s="76">
        <f t="shared" si="1"/>
        <v>0</v>
      </c>
    </row>
    <row r="279" ht="15.0" hidden="1" customHeight="1">
      <c r="A279" s="15"/>
      <c r="B279" s="15" t="str">
        <f>'Identificación y Evaluación'!$A$241</f>
        <v>Legal y Contractual</v>
      </c>
      <c r="C279" s="15" t="str">
        <f>IF('Identificación y Evaluación'!H279="SI",'Identificación y Evaluación'!A279,"")</f>
        <v/>
      </c>
      <c r="D279" s="15">
        <f>'Identificación y Evaluación'!$G$283</f>
        <v>3</v>
      </c>
      <c r="E279" s="75"/>
      <c r="F279" s="76">
        <f t="shared" si="1"/>
        <v>0</v>
      </c>
    </row>
    <row r="280" ht="15.0" hidden="1" customHeight="1">
      <c r="A280" s="15"/>
      <c r="B280" s="15" t="str">
        <f>'Identificación y Evaluación'!$A$241</f>
        <v>Legal y Contractual</v>
      </c>
      <c r="C280" s="15" t="str">
        <f>IF('Identificación y Evaluación'!H280="SI",'Identificación y Evaluación'!A280,"")</f>
        <v/>
      </c>
      <c r="D280" s="15">
        <f>'Identificación y Evaluación'!$G$283</f>
        <v>3</v>
      </c>
      <c r="E280" s="75"/>
      <c r="F280" s="76">
        <f t="shared" si="1"/>
        <v>0</v>
      </c>
    </row>
    <row r="281" ht="15.0" hidden="1" customHeight="1">
      <c r="A281" s="15"/>
      <c r="B281" s="15" t="str">
        <f>'Identificación y Evaluación'!$A$241</f>
        <v>Legal y Contractual</v>
      </c>
      <c r="C281" s="15" t="str">
        <f>IF('Identificación y Evaluación'!H281="SI",'Identificación y Evaluación'!A281,"")</f>
        <v/>
      </c>
      <c r="D281" s="15">
        <f>'Identificación y Evaluación'!$G$283</f>
        <v>3</v>
      </c>
      <c r="E281" s="75"/>
      <c r="F281" s="76">
        <f t="shared" si="1"/>
        <v>0</v>
      </c>
    </row>
    <row r="282" ht="15.0" hidden="1" customHeight="1">
      <c r="A282" s="15"/>
      <c r="B282" s="15" t="str">
        <f>'Identificación y Evaluación'!$A$241</f>
        <v>Legal y Contractual</v>
      </c>
      <c r="C282" s="15" t="str">
        <f>IF('Identificación y Evaluación'!H282="SI",'Identificación y Evaluación'!A282,"")</f>
        <v/>
      </c>
      <c r="D282" s="15">
        <f>'Identificación y Evaluación'!$G$283</f>
        <v>3</v>
      </c>
      <c r="E282" s="75"/>
      <c r="F282" s="76">
        <f t="shared" si="1"/>
        <v>0</v>
      </c>
    </row>
    <row r="283" ht="15.0" hidden="1" customHeight="1">
      <c r="A283" s="15"/>
      <c r="B283" s="15" t="str">
        <f>'Identificación y Evaluación'!$A$241</f>
        <v>Legal y Contractual</v>
      </c>
      <c r="C283" s="15" t="str">
        <f>IF('Identificación y Evaluación'!H283="SI",'Identificación y Evaluación'!A283,"")</f>
        <v/>
      </c>
      <c r="D283" s="15">
        <f>'Identificación y Evaluación'!$G$283</f>
        <v>3</v>
      </c>
      <c r="E283" s="75"/>
      <c r="F283" s="76">
        <f t="shared" si="1"/>
        <v>0</v>
      </c>
    </row>
    <row r="284" ht="15.0" hidden="1" customHeight="1">
      <c r="A284" s="15"/>
      <c r="B284" s="15" t="str">
        <f>'Identificación y Evaluación'!$A$241</f>
        <v>Legal y Contractual</v>
      </c>
      <c r="C284" s="15" t="str">
        <f>IF('Identificación y Evaluación'!H284="SI",'Identificación y Evaluación'!A284,"")</f>
        <v/>
      </c>
      <c r="D284" s="15">
        <f>'Identificación y Evaluación'!$G$283</f>
        <v>3</v>
      </c>
      <c r="E284" s="75"/>
      <c r="F284" s="76">
        <f t="shared" si="1"/>
        <v>0</v>
      </c>
    </row>
    <row r="285" ht="15.0" hidden="1" customHeight="1">
      <c r="A285" s="15"/>
      <c r="B285" s="15" t="str">
        <f>'Identificación y Evaluación'!$A$241</f>
        <v>Legal y Contractual</v>
      </c>
      <c r="C285" s="15" t="str">
        <f>IF('Identificación y Evaluación'!H285="SI",'Identificación y Evaluación'!A285,"")</f>
        <v/>
      </c>
      <c r="D285" s="15">
        <f>'Identificación y Evaluación'!$G$283</f>
        <v>3</v>
      </c>
      <c r="E285" s="75"/>
      <c r="F285" s="76">
        <f t="shared" si="1"/>
        <v>0</v>
      </c>
    </row>
    <row r="286" ht="15.0" hidden="1" customHeight="1">
      <c r="A286" s="15"/>
      <c r="B286" s="15" t="str">
        <f>'Identificación y Evaluación'!$A$241</f>
        <v>Legal y Contractual</v>
      </c>
      <c r="C286" s="15" t="str">
        <f>IF('Identificación y Evaluación'!H286="SI",'Identificación y Evaluación'!A286,"")</f>
        <v/>
      </c>
      <c r="D286" s="15">
        <f>'Identificación y Evaluación'!$G$283</f>
        <v>3</v>
      </c>
      <c r="E286" s="75"/>
      <c r="F286" s="76">
        <f t="shared" si="1"/>
        <v>0</v>
      </c>
    </row>
    <row r="287" ht="15.0" hidden="1" customHeight="1">
      <c r="A287" s="15"/>
      <c r="B287" s="15" t="str">
        <f>'Identificación y Evaluación'!$A$241</f>
        <v>Legal y Contractual</v>
      </c>
      <c r="C287" s="15" t="str">
        <f>IF('Identificación y Evaluación'!H287="SI",'Identificación y Evaluación'!A287,"")</f>
        <v/>
      </c>
      <c r="D287" s="15">
        <f>'Identificación y Evaluación'!$G$283</f>
        <v>3</v>
      </c>
      <c r="E287" s="75"/>
      <c r="F287" s="76">
        <f t="shared" si="1"/>
        <v>0</v>
      </c>
    </row>
    <row r="288" ht="15.0" hidden="1" customHeight="1">
      <c r="A288" s="15"/>
      <c r="B288" s="15" t="str">
        <f>'Identificación y Evaluación'!$A$241</f>
        <v>Legal y Contractual</v>
      </c>
      <c r="C288" s="15" t="str">
        <f>IF('Identificación y Evaluación'!H288="SI",'Identificación y Evaluación'!A288,"")</f>
        <v/>
      </c>
      <c r="D288" s="15">
        <f>'Identificación y Evaluación'!$G$283</f>
        <v>3</v>
      </c>
      <c r="E288" s="75"/>
      <c r="F288" s="76">
        <f t="shared" si="1"/>
        <v>0</v>
      </c>
    </row>
    <row r="289" ht="15.0" hidden="1" customHeight="1">
      <c r="A289" s="15"/>
      <c r="B289" s="15" t="str">
        <f>'Identificación y Evaluación'!$A$289</f>
        <v>Tecnología</v>
      </c>
      <c r="C289" s="15" t="str">
        <f>IF('Identificación y Evaluación'!H289="SI",'Identificación y Evaluación'!A289,"")</f>
        <v/>
      </c>
      <c r="D289" s="15">
        <f>'Identificación y Evaluación'!$G$331</f>
        <v>5</v>
      </c>
      <c r="E289" s="75"/>
      <c r="F289" s="76">
        <f t="shared" si="1"/>
        <v>0</v>
      </c>
    </row>
    <row r="290" ht="15.75" hidden="1" customHeight="1">
      <c r="A290" s="15"/>
      <c r="B290" s="15" t="str">
        <f>'Identificación y Evaluación'!$A$289</f>
        <v>Tecnología</v>
      </c>
      <c r="C290" s="15" t="str">
        <f>IF('Identificación y Evaluación'!H290="SI",'Identificación y Evaluación'!A290,"")</f>
        <v/>
      </c>
      <c r="D290" s="15">
        <f>'Identificación y Evaluación'!$G$331</f>
        <v>5</v>
      </c>
      <c r="E290" s="75"/>
      <c r="F290" s="76">
        <f t="shared" si="1"/>
        <v>0</v>
      </c>
    </row>
    <row r="291" ht="15.75" hidden="1" customHeight="1">
      <c r="A291" s="15"/>
      <c r="B291" s="15" t="str">
        <f>'Identificación y Evaluación'!$A$289</f>
        <v>Tecnología</v>
      </c>
      <c r="C291" s="15" t="str">
        <f>IF('Identificación y Evaluación'!H291="SI",'Identificación y Evaluación'!A291,"")</f>
        <v/>
      </c>
      <c r="D291" s="15">
        <f>'Identificación y Evaluación'!$G$331</f>
        <v>5</v>
      </c>
      <c r="E291" s="75"/>
      <c r="F291" s="76">
        <f t="shared" si="1"/>
        <v>0</v>
      </c>
    </row>
    <row r="292" ht="15.75" hidden="1" customHeight="1">
      <c r="A292" s="15"/>
      <c r="B292" s="15" t="str">
        <f>'Identificación y Evaluación'!$A$289</f>
        <v>Tecnología</v>
      </c>
      <c r="C292" s="15" t="str">
        <f>IF('Identificación y Evaluación'!H292="SI",'Identificación y Evaluación'!A292,"")</f>
        <v/>
      </c>
      <c r="D292" s="15">
        <f>'Identificación y Evaluación'!$G$331</f>
        <v>5</v>
      </c>
      <c r="E292" s="75"/>
      <c r="F292" s="76">
        <f t="shared" si="1"/>
        <v>0</v>
      </c>
    </row>
    <row r="293" ht="15.75" hidden="1" customHeight="1">
      <c r="A293" s="15"/>
      <c r="B293" s="15" t="str">
        <f>'Identificación y Evaluación'!$A$289</f>
        <v>Tecnología</v>
      </c>
      <c r="C293" s="15" t="str">
        <f>IF('Identificación y Evaluación'!H293="SI",'Identificación y Evaluación'!A293,"")</f>
        <v/>
      </c>
      <c r="D293" s="15">
        <f>'Identificación y Evaluación'!$G$331</f>
        <v>5</v>
      </c>
      <c r="E293" s="75"/>
      <c r="F293" s="76">
        <f t="shared" si="1"/>
        <v>0</v>
      </c>
    </row>
    <row r="294" ht="15.0" hidden="1" customHeight="1">
      <c r="A294" s="15"/>
      <c r="B294" s="15" t="str">
        <f>'Identificación y Evaluación'!$A$289</f>
        <v>Tecnología</v>
      </c>
      <c r="C294" s="15" t="str">
        <f>IF('Identificación y Evaluación'!H294="SI",'Identificación y Evaluación'!A294,"")</f>
        <v/>
      </c>
      <c r="D294" s="15">
        <f>'Identificación y Evaluación'!$G$331</f>
        <v>5</v>
      </c>
      <c r="E294" s="75"/>
      <c r="F294" s="76">
        <f t="shared" si="1"/>
        <v>0</v>
      </c>
    </row>
    <row r="295" ht="15.0" hidden="1" customHeight="1">
      <c r="A295" s="15"/>
      <c r="B295" s="15" t="str">
        <f>'Identificación y Evaluación'!$A$289</f>
        <v>Tecnología</v>
      </c>
      <c r="C295" s="15" t="str">
        <f>IF('Identificación y Evaluación'!H295="SI",'Identificación y Evaluación'!A295,"")</f>
        <v/>
      </c>
      <c r="D295" s="15">
        <f>'Identificación y Evaluación'!$G$331</f>
        <v>5</v>
      </c>
      <c r="E295" s="75"/>
      <c r="F295" s="76">
        <f t="shared" si="1"/>
        <v>0</v>
      </c>
    </row>
    <row r="296" ht="15.0" hidden="1" customHeight="1">
      <c r="A296" s="15"/>
      <c r="B296" s="15" t="str">
        <f>'Identificación y Evaluación'!$A$289</f>
        <v>Tecnología</v>
      </c>
      <c r="C296" s="15" t="str">
        <f>IF('Identificación y Evaluación'!H296="SI",'Identificación y Evaluación'!A296,"")</f>
        <v/>
      </c>
      <c r="D296" s="15">
        <f>'Identificación y Evaluación'!$G$331</f>
        <v>5</v>
      </c>
      <c r="E296" s="75"/>
      <c r="F296" s="76">
        <f t="shared" si="1"/>
        <v>0</v>
      </c>
    </row>
    <row r="297" ht="15.0" hidden="1" customHeight="1">
      <c r="A297" s="15"/>
      <c r="B297" s="15" t="str">
        <f>'Identificación y Evaluación'!$A$289</f>
        <v>Tecnología</v>
      </c>
      <c r="C297" s="15" t="str">
        <f>IF('Identificación y Evaluación'!H297="SI",'Identificación y Evaluación'!A297,"")</f>
        <v/>
      </c>
      <c r="D297" s="15">
        <f>'Identificación y Evaluación'!$G$331</f>
        <v>5</v>
      </c>
      <c r="E297" s="75"/>
      <c r="F297" s="76">
        <f t="shared" si="1"/>
        <v>0</v>
      </c>
    </row>
    <row r="298" ht="15.0" hidden="1" customHeight="1">
      <c r="A298" s="15"/>
      <c r="B298" s="15" t="str">
        <f>'Identificación y Evaluación'!$A$289</f>
        <v>Tecnología</v>
      </c>
      <c r="C298" s="15" t="str">
        <f>IF('Identificación y Evaluación'!H298="SI",'Identificación y Evaluación'!A298,"")</f>
        <v/>
      </c>
      <c r="D298" s="15">
        <f>'Identificación y Evaluación'!$G$331</f>
        <v>5</v>
      </c>
      <c r="E298" s="75"/>
      <c r="F298" s="76">
        <f t="shared" si="1"/>
        <v>0</v>
      </c>
    </row>
    <row r="299" ht="15.0" hidden="1" customHeight="1">
      <c r="A299" s="15"/>
      <c r="B299" s="15" t="str">
        <f>'Identificación y Evaluación'!$A$289</f>
        <v>Tecnología</v>
      </c>
      <c r="C299" s="15" t="str">
        <f>IF('Identificación y Evaluación'!H299="SI",'Identificación y Evaluación'!A299,"")</f>
        <v/>
      </c>
      <c r="D299" s="15">
        <f>'Identificación y Evaluación'!$G$331</f>
        <v>5</v>
      </c>
      <c r="E299" s="75"/>
      <c r="F299" s="76">
        <f t="shared" si="1"/>
        <v>0</v>
      </c>
    </row>
    <row r="300" ht="15.0" hidden="1" customHeight="1">
      <c r="A300" s="15"/>
      <c r="B300" s="15" t="str">
        <f>'Identificación y Evaluación'!$A$289</f>
        <v>Tecnología</v>
      </c>
      <c r="C300" s="15" t="str">
        <f>IF('Identificación y Evaluación'!H300="SI",'Identificación y Evaluación'!A300,"")</f>
        <v/>
      </c>
      <c r="D300" s="15">
        <f>'Identificación y Evaluación'!$G$331</f>
        <v>5</v>
      </c>
      <c r="E300" s="75"/>
      <c r="F300" s="76">
        <f t="shared" si="1"/>
        <v>0</v>
      </c>
    </row>
    <row r="301" ht="15.0" hidden="1" customHeight="1">
      <c r="A301" s="15"/>
      <c r="B301" s="15" t="str">
        <f>'Identificación y Evaluación'!$A$289</f>
        <v>Tecnología</v>
      </c>
      <c r="C301" s="15" t="str">
        <f>IF('Identificación y Evaluación'!H301="SI",'Identificación y Evaluación'!A301,"")</f>
        <v/>
      </c>
      <c r="D301" s="15">
        <f>'Identificación y Evaluación'!$G$331</f>
        <v>5</v>
      </c>
      <c r="E301" s="75"/>
      <c r="F301" s="76">
        <f t="shared" si="1"/>
        <v>0</v>
      </c>
    </row>
    <row r="302" ht="15.0" hidden="1" customHeight="1">
      <c r="A302" s="15"/>
      <c r="B302" s="15" t="str">
        <f>'Identificación y Evaluación'!$A$289</f>
        <v>Tecnología</v>
      </c>
      <c r="C302" s="15" t="str">
        <f>IF('Identificación y Evaluación'!H302="SI",'Identificación y Evaluación'!A302,"")</f>
        <v/>
      </c>
      <c r="D302" s="15">
        <f>'Identificación y Evaluación'!$G$331</f>
        <v>5</v>
      </c>
      <c r="E302" s="75"/>
      <c r="F302" s="76">
        <f t="shared" si="1"/>
        <v>0</v>
      </c>
    </row>
    <row r="303" ht="15.0" hidden="1" customHeight="1">
      <c r="A303" s="15"/>
      <c r="B303" s="15" t="str">
        <f>'Identificación y Evaluación'!$A$289</f>
        <v>Tecnología</v>
      </c>
      <c r="C303" s="15" t="str">
        <f>IF('Identificación y Evaluación'!H303="SI",'Identificación y Evaluación'!A303,"")</f>
        <v/>
      </c>
      <c r="D303" s="15">
        <f>'Identificación y Evaluación'!$G$331</f>
        <v>5</v>
      </c>
      <c r="E303" s="75"/>
      <c r="F303" s="76">
        <f t="shared" si="1"/>
        <v>0</v>
      </c>
    </row>
    <row r="304" ht="15.0" hidden="1" customHeight="1">
      <c r="A304" s="15"/>
      <c r="B304" s="15" t="str">
        <f>'Identificación y Evaluación'!$A$289</f>
        <v>Tecnología</v>
      </c>
      <c r="C304" s="15" t="str">
        <f>IF('Identificación y Evaluación'!H304="SI",'Identificación y Evaluación'!A304,"")</f>
        <v/>
      </c>
      <c r="D304" s="15">
        <f>'Identificación y Evaluación'!$G$331</f>
        <v>5</v>
      </c>
      <c r="E304" s="75"/>
      <c r="F304" s="76">
        <f t="shared" si="1"/>
        <v>0</v>
      </c>
    </row>
    <row r="305" ht="15.0" hidden="1" customHeight="1">
      <c r="A305" s="15"/>
      <c r="B305" s="15" t="str">
        <f>'Identificación y Evaluación'!$A$289</f>
        <v>Tecnología</v>
      </c>
      <c r="C305" s="15" t="str">
        <f>IF('Identificación y Evaluación'!H305="SI",'Identificación y Evaluación'!A305,"")</f>
        <v/>
      </c>
      <c r="D305" s="15">
        <f>'Identificación y Evaluación'!$G$331</f>
        <v>5</v>
      </c>
      <c r="E305" s="75"/>
      <c r="F305" s="76">
        <f t="shared" si="1"/>
        <v>0</v>
      </c>
    </row>
    <row r="306" ht="15.0" hidden="1" customHeight="1">
      <c r="A306" s="15"/>
      <c r="B306" s="15" t="str">
        <f>'Identificación y Evaluación'!$A$289</f>
        <v>Tecnología</v>
      </c>
      <c r="C306" s="15" t="str">
        <f>IF('Identificación y Evaluación'!H306="SI",'Identificación y Evaluación'!A306,"")</f>
        <v/>
      </c>
      <c r="D306" s="15">
        <f>'Identificación y Evaluación'!$G$331</f>
        <v>5</v>
      </c>
      <c r="E306" s="75"/>
      <c r="F306" s="76">
        <f t="shared" si="1"/>
        <v>0</v>
      </c>
    </row>
    <row r="307" ht="15.0" hidden="1" customHeight="1">
      <c r="A307" s="15"/>
      <c r="B307" s="15" t="str">
        <f>'Identificación y Evaluación'!$A$289</f>
        <v>Tecnología</v>
      </c>
      <c r="C307" s="15" t="str">
        <f>IF('Identificación y Evaluación'!H307="SI",'Identificación y Evaluación'!A307,"")</f>
        <v/>
      </c>
      <c r="D307" s="15">
        <f>'Identificación y Evaluación'!$G$331</f>
        <v>5</v>
      </c>
      <c r="E307" s="75"/>
      <c r="F307" s="76">
        <f t="shared" si="1"/>
        <v>0</v>
      </c>
    </row>
    <row r="308" ht="15.0" hidden="1" customHeight="1">
      <c r="A308" s="15"/>
      <c r="B308" s="15" t="str">
        <f>'Identificación y Evaluación'!$A$289</f>
        <v>Tecnología</v>
      </c>
      <c r="C308" s="15" t="str">
        <f>IF('Identificación y Evaluación'!H308="SI",'Identificación y Evaluación'!A308,"")</f>
        <v/>
      </c>
      <c r="D308" s="15">
        <f>'Identificación y Evaluación'!$G$331</f>
        <v>5</v>
      </c>
      <c r="E308" s="75"/>
      <c r="F308" s="76">
        <f t="shared" si="1"/>
        <v>0</v>
      </c>
    </row>
    <row r="309" ht="15.0" hidden="1" customHeight="1">
      <c r="A309" s="15"/>
      <c r="B309" s="15" t="str">
        <f>'Identificación y Evaluación'!$A$289</f>
        <v>Tecnología</v>
      </c>
      <c r="C309" s="15" t="str">
        <f>IF('Identificación y Evaluación'!H309="SI",'Identificación y Evaluación'!A309,"")</f>
        <v/>
      </c>
      <c r="D309" s="15">
        <f>'Identificación y Evaluación'!$G$331</f>
        <v>5</v>
      </c>
      <c r="E309" s="75"/>
      <c r="F309" s="76">
        <f t="shared" si="1"/>
        <v>0</v>
      </c>
    </row>
    <row r="310" ht="15.0" hidden="1" customHeight="1">
      <c r="A310" s="15"/>
      <c r="B310" s="15" t="str">
        <f>'Identificación y Evaluación'!$A$289</f>
        <v>Tecnología</v>
      </c>
      <c r="C310" s="15" t="str">
        <f>IF('Identificación y Evaluación'!H310="SI",'Identificación y Evaluación'!A310,"")</f>
        <v/>
      </c>
      <c r="D310" s="15">
        <f>'Identificación y Evaluación'!$G$331</f>
        <v>5</v>
      </c>
      <c r="E310" s="75"/>
      <c r="F310" s="76">
        <f t="shared" si="1"/>
        <v>0</v>
      </c>
    </row>
    <row r="311" ht="15.0" hidden="1" customHeight="1">
      <c r="A311" s="15"/>
      <c r="B311" s="15" t="str">
        <f>'Identificación y Evaluación'!$A$289</f>
        <v>Tecnología</v>
      </c>
      <c r="C311" s="15" t="str">
        <f>IF('Identificación y Evaluación'!H311="SI",'Identificación y Evaluación'!A311,"")</f>
        <v/>
      </c>
      <c r="D311" s="15">
        <f>'Identificación y Evaluación'!$G$331</f>
        <v>5</v>
      </c>
      <c r="E311" s="75"/>
      <c r="F311" s="76">
        <f t="shared" si="1"/>
        <v>0</v>
      </c>
    </row>
    <row r="312" ht="15.0" hidden="1" customHeight="1">
      <c r="A312" s="15"/>
      <c r="B312" s="15" t="str">
        <f>'Identificación y Evaluación'!$A$289</f>
        <v>Tecnología</v>
      </c>
      <c r="C312" s="15" t="str">
        <f>IF('Identificación y Evaluación'!H312="SI",'Identificación y Evaluación'!A312,"")</f>
        <v/>
      </c>
      <c r="D312" s="15">
        <f>'Identificación y Evaluación'!$G$331</f>
        <v>5</v>
      </c>
      <c r="E312" s="75"/>
      <c r="F312" s="76">
        <f t="shared" si="1"/>
        <v>0</v>
      </c>
    </row>
    <row r="313" ht="15.0" hidden="1" customHeight="1">
      <c r="A313" s="15"/>
      <c r="B313" s="15" t="str">
        <f>'Identificación y Evaluación'!$A$289</f>
        <v>Tecnología</v>
      </c>
      <c r="C313" s="15" t="str">
        <f>IF('Identificación y Evaluación'!H313="SI",'Identificación y Evaluación'!A313,"")</f>
        <v/>
      </c>
      <c r="D313" s="15">
        <f>'Identificación y Evaluación'!$G$331</f>
        <v>5</v>
      </c>
      <c r="E313" s="75"/>
      <c r="F313" s="76">
        <f t="shared" si="1"/>
        <v>0</v>
      </c>
    </row>
    <row r="314" ht="15.0" hidden="1" customHeight="1">
      <c r="A314" s="15"/>
      <c r="B314" s="15" t="str">
        <f>'Identificación y Evaluación'!$A$289</f>
        <v>Tecnología</v>
      </c>
      <c r="C314" s="15" t="str">
        <f>IF('Identificación y Evaluación'!H314="SI",'Identificación y Evaluación'!A314,"")</f>
        <v/>
      </c>
      <c r="D314" s="15">
        <f>'Identificación y Evaluación'!$G$331</f>
        <v>5</v>
      </c>
      <c r="E314" s="75"/>
      <c r="F314" s="76">
        <f t="shared" si="1"/>
        <v>0</v>
      </c>
    </row>
    <row r="315" ht="15.0" hidden="1" customHeight="1">
      <c r="A315" s="15"/>
      <c r="B315" s="15" t="str">
        <f>'Identificación y Evaluación'!$A$289</f>
        <v>Tecnología</v>
      </c>
      <c r="C315" s="15" t="str">
        <f>IF('Identificación y Evaluación'!H315="SI",'Identificación y Evaluación'!A315,"")</f>
        <v/>
      </c>
      <c r="D315" s="15">
        <f>'Identificación y Evaluación'!$G$331</f>
        <v>5</v>
      </c>
      <c r="E315" s="75"/>
      <c r="F315" s="76">
        <f t="shared" si="1"/>
        <v>0</v>
      </c>
    </row>
    <row r="316" ht="15.0" hidden="1" customHeight="1">
      <c r="A316" s="15"/>
      <c r="B316" s="15" t="str">
        <f>'Identificación y Evaluación'!$A$289</f>
        <v>Tecnología</v>
      </c>
      <c r="C316" s="15" t="str">
        <f>IF('Identificación y Evaluación'!H316="SI",'Identificación y Evaluación'!A316,"")</f>
        <v/>
      </c>
      <c r="D316" s="15">
        <f>'Identificación y Evaluación'!$G$331</f>
        <v>5</v>
      </c>
      <c r="E316" s="75"/>
      <c r="F316" s="76">
        <f t="shared" si="1"/>
        <v>0</v>
      </c>
    </row>
    <row r="317" ht="15.0" hidden="1" customHeight="1">
      <c r="A317" s="15"/>
      <c r="B317" s="15" t="str">
        <f>'Identificación y Evaluación'!$A$289</f>
        <v>Tecnología</v>
      </c>
      <c r="C317" s="15" t="str">
        <f>IF('Identificación y Evaluación'!H317="SI",'Identificación y Evaluación'!A317,"")</f>
        <v/>
      </c>
      <c r="D317" s="15">
        <f>'Identificación y Evaluación'!$G$331</f>
        <v>5</v>
      </c>
      <c r="E317" s="75"/>
      <c r="F317" s="76">
        <f t="shared" si="1"/>
        <v>0</v>
      </c>
    </row>
    <row r="318" ht="15.0" hidden="1" customHeight="1">
      <c r="A318" s="15"/>
      <c r="B318" s="15" t="str">
        <f>'Identificación y Evaluación'!$A$289</f>
        <v>Tecnología</v>
      </c>
      <c r="C318" s="15" t="str">
        <f>IF('Identificación y Evaluación'!H318="SI",'Identificación y Evaluación'!A318,"")</f>
        <v/>
      </c>
      <c r="D318" s="15">
        <f>'Identificación y Evaluación'!$G$331</f>
        <v>5</v>
      </c>
      <c r="E318" s="75"/>
      <c r="F318" s="76">
        <f t="shared" si="1"/>
        <v>0</v>
      </c>
    </row>
    <row r="319" ht="15.0" hidden="1" customHeight="1">
      <c r="A319" s="15"/>
      <c r="B319" s="15" t="str">
        <f>'Identificación y Evaluación'!$A$289</f>
        <v>Tecnología</v>
      </c>
      <c r="C319" s="15" t="str">
        <f>IF('Identificación y Evaluación'!H319="SI",'Identificación y Evaluación'!A319,"")</f>
        <v/>
      </c>
      <c r="D319" s="15">
        <f>'Identificación y Evaluación'!$G$331</f>
        <v>5</v>
      </c>
      <c r="E319" s="75"/>
      <c r="F319" s="76">
        <f t="shared" si="1"/>
        <v>0</v>
      </c>
    </row>
    <row r="320" ht="15.0" hidden="1" customHeight="1">
      <c r="A320" s="15"/>
      <c r="B320" s="15" t="str">
        <f>'Identificación y Evaluación'!$A$289</f>
        <v>Tecnología</v>
      </c>
      <c r="C320" s="15" t="str">
        <f>IF('Identificación y Evaluación'!H320="SI",'Identificación y Evaluación'!A320,"")</f>
        <v/>
      </c>
      <c r="D320" s="15">
        <f>'Identificación y Evaluación'!$G$331</f>
        <v>5</v>
      </c>
      <c r="E320" s="75"/>
      <c r="F320" s="76">
        <f t="shared" si="1"/>
        <v>0</v>
      </c>
    </row>
    <row r="321" ht="15.0" hidden="1" customHeight="1">
      <c r="A321" s="15"/>
      <c r="B321" s="15" t="str">
        <f>'Identificación y Evaluación'!$A$289</f>
        <v>Tecnología</v>
      </c>
      <c r="C321" s="15" t="str">
        <f>IF('Identificación y Evaluación'!H321="SI",'Identificación y Evaluación'!A321,"")</f>
        <v/>
      </c>
      <c r="D321" s="15">
        <f>'Identificación y Evaluación'!$G$331</f>
        <v>5</v>
      </c>
      <c r="E321" s="75"/>
      <c r="F321" s="76">
        <f t="shared" si="1"/>
        <v>0</v>
      </c>
    </row>
    <row r="322" ht="15.0" hidden="1" customHeight="1">
      <c r="A322" s="15"/>
      <c r="B322" s="15" t="str">
        <f>'Identificación y Evaluación'!$A$289</f>
        <v>Tecnología</v>
      </c>
      <c r="C322" s="15" t="str">
        <f>IF('Identificación y Evaluación'!H322="SI",'Identificación y Evaluación'!A322,"")</f>
        <v/>
      </c>
      <c r="D322" s="15">
        <f>'Identificación y Evaluación'!$G$331</f>
        <v>5</v>
      </c>
      <c r="E322" s="75"/>
      <c r="F322" s="76">
        <f t="shared" si="1"/>
        <v>0</v>
      </c>
    </row>
    <row r="323" ht="15.0" hidden="1" customHeight="1">
      <c r="A323" s="15"/>
      <c r="B323" s="15" t="str">
        <f>'Identificación y Evaluación'!$A$289</f>
        <v>Tecnología</v>
      </c>
      <c r="C323" s="15" t="str">
        <f>IF('Identificación y Evaluación'!H323="SI",'Identificación y Evaluación'!A323,"")</f>
        <v/>
      </c>
      <c r="D323" s="15">
        <f>'Identificación y Evaluación'!$G$331</f>
        <v>5</v>
      </c>
      <c r="E323" s="75"/>
      <c r="F323" s="76">
        <f t="shared" si="1"/>
        <v>0</v>
      </c>
    </row>
    <row r="324" ht="15.0" hidden="1" customHeight="1">
      <c r="A324" s="15"/>
      <c r="B324" s="15" t="str">
        <f>'Identificación y Evaluación'!$A$289</f>
        <v>Tecnología</v>
      </c>
      <c r="C324" s="15" t="str">
        <f>IF('Identificación y Evaluación'!H324="SI",'Identificación y Evaluación'!A324,"")</f>
        <v/>
      </c>
      <c r="D324" s="15">
        <f>'Identificación y Evaluación'!$G$331</f>
        <v>5</v>
      </c>
      <c r="E324" s="75"/>
      <c r="F324" s="76">
        <f t="shared" si="1"/>
        <v>0</v>
      </c>
    </row>
    <row r="325" ht="15.0" hidden="1" customHeight="1">
      <c r="A325" s="15"/>
      <c r="B325" s="15" t="str">
        <f>'Identificación y Evaluación'!$A$289</f>
        <v>Tecnología</v>
      </c>
      <c r="C325" s="15" t="str">
        <f>IF('Identificación y Evaluación'!H325="SI",'Identificación y Evaluación'!A325,"")</f>
        <v/>
      </c>
      <c r="D325" s="15">
        <f>'Identificación y Evaluación'!$G$331</f>
        <v>5</v>
      </c>
      <c r="E325" s="75"/>
      <c r="F325" s="76">
        <f t="shared" si="1"/>
        <v>0</v>
      </c>
    </row>
    <row r="326" ht="15.0" hidden="1" customHeight="1">
      <c r="A326" s="15"/>
      <c r="B326" s="15" t="str">
        <f>'Identificación y Evaluación'!$A$289</f>
        <v>Tecnología</v>
      </c>
      <c r="C326" s="15" t="str">
        <f>IF('Identificación y Evaluación'!H326="SI",'Identificación y Evaluación'!A326,"")</f>
        <v/>
      </c>
      <c r="D326" s="15">
        <f>'Identificación y Evaluación'!$G$331</f>
        <v>5</v>
      </c>
      <c r="E326" s="75"/>
      <c r="F326" s="76">
        <f t="shared" si="1"/>
        <v>0</v>
      </c>
    </row>
    <row r="327" ht="15.0" hidden="1" customHeight="1">
      <c r="A327" s="15"/>
      <c r="B327" s="15" t="str">
        <f>'Identificación y Evaluación'!$A$289</f>
        <v>Tecnología</v>
      </c>
      <c r="C327" s="15" t="str">
        <f>IF('Identificación y Evaluación'!H327="SI",'Identificación y Evaluación'!A327,"")</f>
        <v/>
      </c>
      <c r="D327" s="15">
        <f>'Identificación y Evaluación'!$G$331</f>
        <v>5</v>
      </c>
      <c r="E327" s="75"/>
      <c r="F327" s="76">
        <f t="shared" si="1"/>
        <v>0</v>
      </c>
    </row>
    <row r="328" ht="15.0" hidden="1" customHeight="1">
      <c r="A328" s="15"/>
      <c r="B328" s="15" t="str">
        <f>'Identificación y Evaluación'!$A$289</f>
        <v>Tecnología</v>
      </c>
      <c r="C328" s="15" t="str">
        <f>IF('Identificación y Evaluación'!H328="SI",'Identificación y Evaluación'!A328,"")</f>
        <v/>
      </c>
      <c r="D328" s="15">
        <f>'Identificación y Evaluación'!$G$331</f>
        <v>5</v>
      </c>
      <c r="E328" s="75"/>
      <c r="F328" s="76">
        <f t="shared" si="1"/>
        <v>0</v>
      </c>
    </row>
    <row r="329" ht="15.0" hidden="1" customHeight="1">
      <c r="A329" s="15"/>
      <c r="B329" s="15" t="str">
        <f>'Identificación y Evaluación'!$A$289</f>
        <v>Tecnología</v>
      </c>
      <c r="C329" s="15" t="str">
        <f>IF('Identificación y Evaluación'!H329="SI",'Identificación y Evaluación'!A329,"")</f>
        <v/>
      </c>
      <c r="D329" s="15">
        <f>'Identificación y Evaluación'!$G$331</f>
        <v>5</v>
      </c>
      <c r="E329" s="75"/>
      <c r="F329" s="76">
        <f t="shared" si="1"/>
        <v>0</v>
      </c>
    </row>
    <row r="330" ht="15.0" hidden="1" customHeight="1">
      <c r="A330" s="15"/>
      <c r="B330" s="15" t="str">
        <f>'Identificación y Evaluación'!$A$289</f>
        <v>Tecnología</v>
      </c>
      <c r="C330" s="15" t="str">
        <f>IF('Identificación y Evaluación'!H330="SI",'Identificación y Evaluación'!A330,"")</f>
        <v/>
      </c>
      <c r="D330" s="15">
        <f>'Identificación y Evaluación'!$G$331</f>
        <v>5</v>
      </c>
      <c r="E330" s="75"/>
      <c r="F330" s="76">
        <f t="shared" si="1"/>
        <v>0</v>
      </c>
    </row>
    <row r="331" ht="15.0" hidden="1" customHeight="1">
      <c r="A331" s="15"/>
      <c r="B331" s="15" t="str">
        <f>'Identificación y Evaluación'!$A$289</f>
        <v>Tecnología</v>
      </c>
      <c r="C331" s="15" t="str">
        <f>IF('Identificación y Evaluación'!H331="SI",'Identificación y Evaluación'!A331,"")</f>
        <v/>
      </c>
      <c r="D331" s="15">
        <f>'Identificación y Evaluación'!$G$331</f>
        <v>5</v>
      </c>
      <c r="E331" s="75"/>
      <c r="F331" s="76">
        <f t="shared" si="1"/>
        <v>0</v>
      </c>
    </row>
    <row r="332" ht="15.0" hidden="1" customHeight="1">
      <c r="A332" s="15"/>
      <c r="B332" s="15" t="str">
        <f>'Identificación y Evaluación'!$A$289</f>
        <v>Tecnología</v>
      </c>
      <c r="C332" s="15" t="str">
        <f>IF('Identificación y Evaluación'!H332="SI",'Identificación y Evaluación'!A332,"")</f>
        <v/>
      </c>
      <c r="D332" s="15">
        <f>'Identificación y Evaluación'!$G$331</f>
        <v>5</v>
      </c>
      <c r="E332" s="75"/>
      <c r="F332" s="76">
        <f t="shared" si="1"/>
        <v>0</v>
      </c>
    </row>
    <row r="333" ht="15.0" hidden="1" customHeight="1">
      <c r="A333" s="15"/>
      <c r="B333" s="15" t="str">
        <f>'Identificación y Evaluación'!$A$289</f>
        <v>Tecnología</v>
      </c>
      <c r="C333" s="15" t="str">
        <f>IF('Identificación y Evaluación'!H333="SI",'Identificación y Evaluación'!A333,"")</f>
        <v/>
      </c>
      <c r="D333" s="15">
        <f>'Identificación y Evaluación'!$G$331</f>
        <v>5</v>
      </c>
      <c r="E333" s="75"/>
      <c r="F333" s="76">
        <f t="shared" si="1"/>
        <v>0</v>
      </c>
    </row>
    <row r="334" ht="15.0" hidden="1" customHeight="1">
      <c r="A334" s="15"/>
      <c r="B334" s="15" t="str">
        <f>'Identificación y Evaluación'!$A$289</f>
        <v>Tecnología</v>
      </c>
      <c r="C334" s="15" t="str">
        <f>IF('Identificación y Evaluación'!H334="SI",'Identificación y Evaluación'!A334,"")</f>
        <v/>
      </c>
      <c r="D334" s="15">
        <f>'Identificación y Evaluación'!$G$331</f>
        <v>5</v>
      </c>
      <c r="E334" s="75"/>
      <c r="F334" s="76">
        <f t="shared" si="1"/>
        <v>0</v>
      </c>
    </row>
    <row r="335" ht="15.0" hidden="1" customHeight="1">
      <c r="A335" s="15"/>
      <c r="B335" s="15" t="str">
        <f>'Identificación y Evaluación'!$A$289</f>
        <v>Tecnología</v>
      </c>
      <c r="C335" s="15" t="str">
        <f>IF('Identificación y Evaluación'!H335="SI",'Identificación y Evaluación'!A335,"")</f>
        <v/>
      </c>
      <c r="D335" s="15">
        <f>'Identificación y Evaluación'!$G$331</f>
        <v>5</v>
      </c>
      <c r="E335" s="75"/>
      <c r="F335" s="76">
        <f t="shared" si="1"/>
        <v>0</v>
      </c>
    </row>
    <row r="336" ht="15.0" hidden="1" customHeight="1">
      <c r="A336" s="15"/>
      <c r="B336" s="15" t="str">
        <f>'Identificación y Evaluación'!$A$289</f>
        <v>Tecnología</v>
      </c>
      <c r="C336" s="15" t="str">
        <f>IF('Identificación y Evaluación'!H336="SI",'Identificación y Evaluación'!A336,"")</f>
        <v/>
      </c>
      <c r="D336" s="15">
        <f>'Identificación y Evaluación'!$G$331</f>
        <v>5</v>
      </c>
      <c r="E336" s="75"/>
      <c r="F336" s="76">
        <f t="shared" si="1"/>
        <v>0</v>
      </c>
    </row>
    <row r="337" ht="15.0" hidden="1" customHeight="1">
      <c r="A337" s="15"/>
      <c r="B337" s="15" t="str">
        <f>'Identificación y Evaluación'!$A$337</f>
        <v>Complejidad</v>
      </c>
      <c r="C337" s="15" t="str">
        <f>IF('Identificación y Evaluación'!H337="SI",'Identificación y Evaluación'!A337,"")</f>
        <v/>
      </c>
      <c r="D337" s="15">
        <f>'Identificación y Evaluación'!$G$379</f>
        <v>4</v>
      </c>
      <c r="E337" s="75"/>
      <c r="F337" s="76">
        <f t="shared" si="1"/>
        <v>0</v>
      </c>
    </row>
    <row r="338" ht="15.0" customHeight="1">
      <c r="A338" s="15"/>
      <c r="B338" s="15" t="str">
        <f>'Identificación y Evaluación'!$A$337</f>
        <v>Complejidad</v>
      </c>
      <c r="C338" s="15" t="str">
        <f>IF('Identificación y Evaluación'!H338="SI",'Identificación y Evaluación'!A338,"")</f>
        <v>Dado que puede no existir un conjunto de datos de prueba adecuado, podría ocurrir que el sistema se valide con información poco representativa, lo que conduciría a errores no detectados hasta etapas tardías.</v>
      </c>
      <c r="D338" s="15">
        <f>'Identificación y Evaluación'!$G$379</f>
        <v>4</v>
      </c>
      <c r="E338" s="77">
        <v>0.7</v>
      </c>
      <c r="F338" s="76">
        <f t="shared" si="1"/>
        <v>280</v>
      </c>
    </row>
    <row r="339" ht="15.75" hidden="1" customHeight="1">
      <c r="A339" s="15"/>
      <c r="B339" s="15" t="str">
        <f>'Identificación y Evaluación'!$A$337</f>
        <v>Complejidad</v>
      </c>
      <c r="C339" s="15" t="str">
        <f>IF('Identificación y Evaluación'!H339="SI",'Identificación y Evaluación'!A339,"")</f>
        <v/>
      </c>
      <c r="D339" s="15">
        <f>'Identificación y Evaluación'!$G$379</f>
        <v>4</v>
      </c>
      <c r="E339" s="75"/>
      <c r="F339" s="76">
        <f t="shared" si="1"/>
        <v>0</v>
      </c>
    </row>
    <row r="340" ht="15.0" hidden="1" customHeight="1">
      <c r="A340" s="15"/>
      <c r="B340" s="15" t="str">
        <f>'Identificación y Evaluación'!$A$337</f>
        <v>Complejidad</v>
      </c>
      <c r="C340" s="15" t="str">
        <f>IF('Identificación y Evaluación'!H340="SI",'Identificación y Evaluación'!A340,"")</f>
        <v/>
      </c>
      <c r="D340" s="15">
        <f>'Identificación y Evaluación'!$G$379</f>
        <v>4</v>
      </c>
      <c r="E340" s="75"/>
      <c r="F340" s="76">
        <f t="shared" si="1"/>
        <v>0</v>
      </c>
    </row>
    <row r="341" ht="15.0" hidden="1" customHeight="1">
      <c r="A341" s="15"/>
      <c r="B341" s="15" t="str">
        <f>'Identificación y Evaluación'!$A$337</f>
        <v>Complejidad</v>
      </c>
      <c r="C341" s="15" t="str">
        <f>IF('Identificación y Evaluación'!H341="SI",'Identificación y Evaluación'!A341,"")</f>
        <v/>
      </c>
      <c r="D341" s="15">
        <f>'Identificación y Evaluación'!$G$379</f>
        <v>4</v>
      </c>
      <c r="E341" s="75"/>
      <c r="F341" s="76">
        <f t="shared" si="1"/>
        <v>0</v>
      </c>
    </row>
    <row r="342" ht="15.0" hidden="1" customHeight="1">
      <c r="A342" s="15"/>
      <c r="B342" s="15" t="str">
        <f>'Identificación y Evaluación'!$A$337</f>
        <v>Complejidad</v>
      </c>
      <c r="C342" s="15" t="str">
        <f>IF('Identificación y Evaluación'!H342="SI",'Identificación y Evaluación'!A342,"")</f>
        <v/>
      </c>
      <c r="D342" s="15">
        <f>'Identificación y Evaluación'!$G$379</f>
        <v>4</v>
      </c>
      <c r="E342" s="75"/>
      <c r="F342" s="76">
        <f t="shared" si="1"/>
        <v>0</v>
      </c>
    </row>
    <row r="343" ht="15.0" hidden="1" customHeight="1">
      <c r="A343" s="15"/>
      <c r="B343" s="15" t="str">
        <f>'Identificación y Evaluación'!$A$337</f>
        <v>Complejidad</v>
      </c>
      <c r="C343" s="15" t="str">
        <f>IF('Identificación y Evaluación'!H343="SI",'Identificación y Evaluación'!A343,"")</f>
        <v/>
      </c>
      <c r="D343" s="15">
        <f>'Identificación y Evaluación'!$G$379</f>
        <v>4</v>
      </c>
      <c r="E343" s="75"/>
      <c r="F343" s="76">
        <f t="shared" si="1"/>
        <v>0</v>
      </c>
    </row>
    <row r="344" ht="15.0" hidden="1" customHeight="1">
      <c r="A344" s="15"/>
      <c r="B344" s="15" t="str">
        <f>'Identificación y Evaluación'!$A$337</f>
        <v>Complejidad</v>
      </c>
      <c r="C344" s="15" t="str">
        <f>IF('Identificación y Evaluación'!H344="SI",'Identificación y Evaluación'!A344,"")</f>
        <v/>
      </c>
      <c r="D344" s="15">
        <f>'Identificación y Evaluación'!$G$379</f>
        <v>4</v>
      </c>
      <c r="E344" s="75"/>
      <c r="F344" s="76">
        <f t="shared" si="1"/>
        <v>0</v>
      </c>
    </row>
    <row r="345" ht="15.0" hidden="1" customHeight="1">
      <c r="A345" s="15"/>
      <c r="B345" s="15" t="str">
        <f>'Identificación y Evaluación'!$A$337</f>
        <v>Complejidad</v>
      </c>
      <c r="C345" s="15" t="str">
        <f>IF('Identificación y Evaluación'!H345="SI",'Identificación y Evaluación'!A345,"")</f>
        <v/>
      </c>
      <c r="D345" s="15">
        <f>'Identificación y Evaluación'!$G$379</f>
        <v>4</v>
      </c>
      <c r="E345" s="75"/>
      <c r="F345" s="76">
        <f t="shared" si="1"/>
        <v>0</v>
      </c>
    </row>
    <row r="346" ht="15.0" hidden="1" customHeight="1">
      <c r="A346" s="15"/>
      <c r="B346" s="15" t="str">
        <f>'Identificación y Evaluación'!$A$337</f>
        <v>Complejidad</v>
      </c>
      <c r="C346" s="15" t="str">
        <f>IF('Identificación y Evaluación'!H346="SI",'Identificación y Evaluación'!A346,"")</f>
        <v/>
      </c>
      <c r="D346" s="15">
        <f>'Identificación y Evaluación'!$G$379</f>
        <v>4</v>
      </c>
      <c r="E346" s="75"/>
      <c r="F346" s="76">
        <f t="shared" si="1"/>
        <v>0</v>
      </c>
    </row>
    <row r="347" ht="15.0" hidden="1" customHeight="1">
      <c r="A347" s="15"/>
      <c r="B347" s="15" t="str">
        <f>'Identificación y Evaluación'!$A$337</f>
        <v>Complejidad</v>
      </c>
      <c r="C347" s="15" t="str">
        <f>IF('Identificación y Evaluación'!H347="SI",'Identificación y Evaluación'!A347,"")</f>
        <v/>
      </c>
      <c r="D347" s="15">
        <f>'Identificación y Evaluación'!$G$379</f>
        <v>4</v>
      </c>
      <c r="E347" s="75"/>
      <c r="F347" s="76">
        <f t="shared" si="1"/>
        <v>0</v>
      </c>
    </row>
    <row r="348" ht="15.0" hidden="1" customHeight="1">
      <c r="A348" s="15"/>
      <c r="B348" s="15" t="str">
        <f>'Identificación y Evaluación'!$A$337</f>
        <v>Complejidad</v>
      </c>
      <c r="C348" s="15" t="str">
        <f>IF('Identificación y Evaluación'!H348="SI",'Identificación y Evaluación'!A348,"")</f>
        <v/>
      </c>
      <c r="D348" s="15">
        <f>'Identificación y Evaluación'!$G$379</f>
        <v>4</v>
      </c>
      <c r="E348" s="75"/>
      <c r="F348" s="76">
        <f t="shared" si="1"/>
        <v>0</v>
      </c>
    </row>
    <row r="349" ht="15.0" hidden="1" customHeight="1">
      <c r="A349" s="15"/>
      <c r="B349" s="15" t="str">
        <f>'Identificación y Evaluación'!$A$337</f>
        <v>Complejidad</v>
      </c>
      <c r="C349" s="15" t="str">
        <f>IF('Identificación y Evaluación'!H349="SI",'Identificación y Evaluación'!A349,"")</f>
        <v/>
      </c>
      <c r="D349" s="15">
        <f>'Identificación y Evaluación'!$G$379</f>
        <v>4</v>
      </c>
      <c r="E349" s="75"/>
      <c r="F349" s="76">
        <f t="shared" si="1"/>
        <v>0</v>
      </c>
    </row>
    <row r="350" ht="15.0" hidden="1" customHeight="1">
      <c r="A350" s="15"/>
      <c r="B350" s="15" t="str">
        <f>'Identificación y Evaluación'!$A$337</f>
        <v>Complejidad</v>
      </c>
      <c r="C350" s="15" t="str">
        <f>IF('Identificación y Evaluación'!H350="SI",'Identificación y Evaluación'!A350,"")</f>
        <v/>
      </c>
      <c r="D350" s="15">
        <f>'Identificación y Evaluación'!$G$379</f>
        <v>4</v>
      </c>
      <c r="E350" s="75"/>
      <c r="F350" s="76">
        <f t="shared" si="1"/>
        <v>0</v>
      </c>
    </row>
    <row r="351" ht="15.0" hidden="1" customHeight="1">
      <c r="A351" s="15"/>
      <c r="B351" s="15" t="str">
        <f>'Identificación y Evaluación'!$A$337</f>
        <v>Complejidad</v>
      </c>
      <c r="C351" s="15" t="str">
        <f>IF('Identificación y Evaluación'!H351="SI",'Identificación y Evaluación'!A351,"")</f>
        <v/>
      </c>
      <c r="D351" s="15">
        <f>'Identificación y Evaluación'!$G$379</f>
        <v>4</v>
      </c>
      <c r="E351" s="75"/>
      <c r="F351" s="76">
        <f t="shared" si="1"/>
        <v>0</v>
      </c>
    </row>
    <row r="352" ht="15.0" hidden="1" customHeight="1">
      <c r="A352" s="15"/>
      <c r="B352" s="15" t="str">
        <f>'Identificación y Evaluación'!$A$337</f>
        <v>Complejidad</v>
      </c>
      <c r="C352" s="15" t="str">
        <f>IF('Identificación y Evaluación'!H352="SI",'Identificación y Evaluación'!A352,"")</f>
        <v/>
      </c>
      <c r="D352" s="15">
        <f>'Identificación y Evaluación'!$G$379</f>
        <v>4</v>
      </c>
      <c r="E352" s="75"/>
      <c r="F352" s="76">
        <f t="shared" si="1"/>
        <v>0</v>
      </c>
    </row>
    <row r="353" ht="15.0" hidden="1" customHeight="1">
      <c r="A353" s="15"/>
      <c r="B353" s="15" t="str">
        <f>'Identificación y Evaluación'!$A$337</f>
        <v>Complejidad</v>
      </c>
      <c r="C353" s="15" t="str">
        <f>IF('Identificación y Evaluación'!H353="SI",'Identificación y Evaluación'!A353,"")</f>
        <v/>
      </c>
      <c r="D353" s="15">
        <f>'Identificación y Evaluación'!$G$379</f>
        <v>4</v>
      </c>
      <c r="E353" s="75"/>
      <c r="F353" s="76">
        <f t="shared" si="1"/>
        <v>0</v>
      </c>
    </row>
    <row r="354" ht="15.0" hidden="1" customHeight="1">
      <c r="A354" s="15"/>
      <c r="B354" s="15" t="str">
        <f>'Identificación y Evaluación'!$A$337</f>
        <v>Complejidad</v>
      </c>
      <c r="C354" s="15" t="str">
        <f>IF('Identificación y Evaluación'!H354="SI",'Identificación y Evaluación'!A354,"")</f>
        <v/>
      </c>
      <c r="D354" s="15">
        <f>'Identificación y Evaluación'!$G$379</f>
        <v>4</v>
      </c>
      <c r="E354" s="75"/>
      <c r="F354" s="76">
        <f t="shared" si="1"/>
        <v>0</v>
      </c>
    </row>
    <row r="355" ht="15.0" hidden="1" customHeight="1">
      <c r="A355" s="15"/>
      <c r="B355" s="15" t="str">
        <f>'Identificación y Evaluación'!$A$337</f>
        <v>Complejidad</v>
      </c>
      <c r="C355" s="15" t="str">
        <f>IF('Identificación y Evaluación'!H355="SI",'Identificación y Evaluación'!A355,"")</f>
        <v/>
      </c>
      <c r="D355" s="15">
        <f>'Identificación y Evaluación'!$G$379</f>
        <v>4</v>
      </c>
      <c r="E355" s="75"/>
      <c r="F355" s="76">
        <f t="shared" si="1"/>
        <v>0</v>
      </c>
    </row>
    <row r="356" ht="15.0" hidden="1" customHeight="1">
      <c r="A356" s="15"/>
      <c r="B356" s="15" t="str">
        <f>'Identificación y Evaluación'!$A$337</f>
        <v>Complejidad</v>
      </c>
      <c r="C356" s="15" t="str">
        <f>IF('Identificación y Evaluación'!H356="SI",'Identificación y Evaluación'!A356,"")</f>
        <v/>
      </c>
      <c r="D356" s="15">
        <f>'Identificación y Evaluación'!$G$379</f>
        <v>4</v>
      </c>
      <c r="E356" s="75"/>
      <c r="F356" s="76">
        <f t="shared" si="1"/>
        <v>0</v>
      </c>
    </row>
    <row r="357" ht="15.0" hidden="1" customHeight="1">
      <c r="A357" s="15"/>
      <c r="B357" s="15" t="str">
        <f>'Identificación y Evaluación'!$A$337</f>
        <v>Complejidad</v>
      </c>
      <c r="C357" s="15" t="str">
        <f>IF('Identificación y Evaluación'!H357="SI",'Identificación y Evaluación'!A357,"")</f>
        <v/>
      </c>
      <c r="D357" s="15">
        <f>'Identificación y Evaluación'!$G$379</f>
        <v>4</v>
      </c>
      <c r="E357" s="75"/>
      <c r="F357" s="76">
        <f t="shared" si="1"/>
        <v>0</v>
      </c>
    </row>
    <row r="358" ht="15.0" hidden="1" customHeight="1">
      <c r="A358" s="15"/>
      <c r="B358" s="15" t="str">
        <f>'Identificación y Evaluación'!$A$337</f>
        <v>Complejidad</v>
      </c>
      <c r="C358" s="15" t="str">
        <f>IF('Identificación y Evaluación'!H358="SI",'Identificación y Evaluación'!A358,"")</f>
        <v/>
      </c>
      <c r="D358" s="15">
        <f>'Identificación y Evaluación'!$G$379</f>
        <v>4</v>
      </c>
      <c r="E358" s="75"/>
      <c r="F358" s="76">
        <f t="shared" si="1"/>
        <v>0</v>
      </c>
    </row>
    <row r="359" ht="15.0" hidden="1" customHeight="1">
      <c r="A359" s="15"/>
      <c r="B359" s="15" t="str">
        <f>'Identificación y Evaluación'!$A$337</f>
        <v>Complejidad</v>
      </c>
      <c r="C359" s="15" t="str">
        <f>IF('Identificación y Evaluación'!H359="SI",'Identificación y Evaluación'!A359,"")</f>
        <v/>
      </c>
      <c r="D359" s="15">
        <f>'Identificación y Evaluación'!$G$379</f>
        <v>4</v>
      </c>
      <c r="E359" s="75"/>
      <c r="F359" s="76">
        <f t="shared" si="1"/>
        <v>0</v>
      </c>
    </row>
    <row r="360" ht="15.0" hidden="1" customHeight="1">
      <c r="A360" s="15"/>
      <c r="B360" s="15" t="str">
        <f>'Identificación y Evaluación'!$A$337</f>
        <v>Complejidad</v>
      </c>
      <c r="C360" s="15" t="str">
        <f>IF('Identificación y Evaluación'!H360="SI",'Identificación y Evaluación'!A360,"")</f>
        <v/>
      </c>
      <c r="D360" s="15">
        <f>'Identificación y Evaluación'!$G$379</f>
        <v>4</v>
      </c>
      <c r="E360" s="75"/>
      <c r="F360" s="76">
        <f t="shared" si="1"/>
        <v>0</v>
      </c>
    </row>
    <row r="361" ht="15.0" hidden="1" customHeight="1">
      <c r="A361" s="15"/>
      <c r="B361" s="15" t="str">
        <f>'Identificación y Evaluación'!$A$337</f>
        <v>Complejidad</v>
      </c>
      <c r="C361" s="15" t="str">
        <f>IF('Identificación y Evaluación'!H361="SI",'Identificación y Evaluación'!A361,"")</f>
        <v/>
      </c>
      <c r="D361" s="15">
        <f>'Identificación y Evaluación'!$G$379</f>
        <v>4</v>
      </c>
      <c r="E361" s="75"/>
      <c r="F361" s="76">
        <f t="shared" si="1"/>
        <v>0</v>
      </c>
    </row>
    <row r="362" ht="15.0" hidden="1" customHeight="1">
      <c r="A362" s="15"/>
      <c r="B362" s="15" t="str">
        <f>'Identificación y Evaluación'!$A$337</f>
        <v>Complejidad</v>
      </c>
      <c r="C362" s="15" t="str">
        <f>IF('Identificación y Evaluación'!H362="SI",'Identificación y Evaluación'!A362,"")</f>
        <v/>
      </c>
      <c r="D362" s="15">
        <f>'Identificación y Evaluación'!$G$379</f>
        <v>4</v>
      </c>
      <c r="E362" s="75"/>
      <c r="F362" s="76">
        <f t="shared" si="1"/>
        <v>0</v>
      </c>
    </row>
    <row r="363" ht="15.0" hidden="1" customHeight="1">
      <c r="A363" s="15"/>
      <c r="B363" s="15" t="str">
        <f>'Identificación y Evaluación'!$A$337</f>
        <v>Complejidad</v>
      </c>
      <c r="C363" s="15" t="str">
        <f>IF('Identificación y Evaluación'!H363="SI",'Identificación y Evaluación'!A363,"")</f>
        <v/>
      </c>
      <c r="D363" s="15">
        <f>'Identificación y Evaluación'!$G$379</f>
        <v>4</v>
      </c>
      <c r="E363" s="75"/>
      <c r="F363" s="76">
        <f t="shared" si="1"/>
        <v>0</v>
      </c>
    </row>
    <row r="364" ht="15.0" hidden="1" customHeight="1">
      <c r="A364" s="15"/>
      <c r="B364" s="15" t="str">
        <f>'Identificación y Evaluación'!$A$337</f>
        <v>Complejidad</v>
      </c>
      <c r="C364" s="15" t="str">
        <f>IF('Identificación y Evaluación'!H364="SI",'Identificación y Evaluación'!A364,"")</f>
        <v/>
      </c>
      <c r="D364" s="15">
        <f>'Identificación y Evaluación'!$G$379</f>
        <v>4</v>
      </c>
      <c r="E364" s="75"/>
      <c r="F364" s="76">
        <f t="shared" si="1"/>
        <v>0</v>
      </c>
    </row>
    <row r="365" ht="15.0" hidden="1" customHeight="1">
      <c r="A365" s="15"/>
      <c r="B365" s="15" t="str">
        <f>'Identificación y Evaluación'!$A$337</f>
        <v>Complejidad</v>
      </c>
      <c r="C365" s="15" t="str">
        <f>IF('Identificación y Evaluación'!H365="SI",'Identificación y Evaluación'!A365,"")</f>
        <v/>
      </c>
      <c r="D365" s="15">
        <f>'Identificación y Evaluación'!$G$379</f>
        <v>4</v>
      </c>
      <c r="E365" s="75"/>
      <c r="F365" s="76">
        <f t="shared" si="1"/>
        <v>0</v>
      </c>
    </row>
    <row r="366" ht="15.0" hidden="1" customHeight="1">
      <c r="A366" s="15"/>
      <c r="B366" s="15" t="str">
        <f>'Identificación y Evaluación'!$A$337</f>
        <v>Complejidad</v>
      </c>
      <c r="C366" s="15" t="str">
        <f>IF('Identificación y Evaluación'!H366="SI",'Identificación y Evaluación'!A366,"")</f>
        <v/>
      </c>
      <c r="D366" s="15">
        <f>'Identificación y Evaluación'!$G$379</f>
        <v>4</v>
      </c>
      <c r="E366" s="75"/>
      <c r="F366" s="76">
        <f t="shared" si="1"/>
        <v>0</v>
      </c>
    </row>
    <row r="367" ht="15.0" hidden="1" customHeight="1">
      <c r="A367" s="15"/>
      <c r="B367" s="15" t="str">
        <f>'Identificación y Evaluación'!$A$337</f>
        <v>Complejidad</v>
      </c>
      <c r="C367" s="15" t="str">
        <f>IF('Identificación y Evaluación'!H367="SI",'Identificación y Evaluación'!A367,"")</f>
        <v/>
      </c>
      <c r="D367" s="15">
        <f>'Identificación y Evaluación'!$G$379</f>
        <v>4</v>
      </c>
      <c r="E367" s="75"/>
      <c r="F367" s="76">
        <f t="shared" si="1"/>
        <v>0</v>
      </c>
    </row>
    <row r="368" ht="15.0" hidden="1" customHeight="1">
      <c r="A368" s="15"/>
      <c r="B368" s="15" t="str">
        <f>'Identificación y Evaluación'!$A$337</f>
        <v>Complejidad</v>
      </c>
      <c r="C368" s="15" t="str">
        <f>IF('Identificación y Evaluación'!H368="SI",'Identificación y Evaluación'!A368,"")</f>
        <v/>
      </c>
      <c r="D368" s="15">
        <f>'Identificación y Evaluación'!$G$379</f>
        <v>4</v>
      </c>
      <c r="E368" s="75"/>
      <c r="F368" s="76">
        <f t="shared" si="1"/>
        <v>0</v>
      </c>
    </row>
    <row r="369" ht="15.0" hidden="1" customHeight="1">
      <c r="A369" s="15"/>
      <c r="B369" s="15" t="str">
        <f>'Identificación y Evaluación'!$A$337</f>
        <v>Complejidad</v>
      </c>
      <c r="C369" s="15" t="str">
        <f>IF('Identificación y Evaluación'!H369="SI",'Identificación y Evaluación'!A369,"")</f>
        <v/>
      </c>
      <c r="D369" s="15">
        <f>'Identificación y Evaluación'!$G$379</f>
        <v>4</v>
      </c>
      <c r="E369" s="75"/>
      <c r="F369" s="76">
        <f t="shared" si="1"/>
        <v>0</v>
      </c>
    </row>
    <row r="370" ht="15.0" hidden="1" customHeight="1">
      <c r="A370" s="15"/>
      <c r="B370" s="15" t="str">
        <f>'Identificación y Evaluación'!$A$337</f>
        <v>Complejidad</v>
      </c>
      <c r="C370" s="15" t="str">
        <f>IF('Identificación y Evaluación'!H370="SI",'Identificación y Evaluación'!A370,"")</f>
        <v/>
      </c>
      <c r="D370" s="15">
        <f>'Identificación y Evaluación'!$G$379</f>
        <v>4</v>
      </c>
      <c r="E370" s="75"/>
      <c r="F370" s="76">
        <f t="shared" si="1"/>
        <v>0</v>
      </c>
    </row>
    <row r="371" ht="15.0" hidden="1" customHeight="1">
      <c r="A371" s="15"/>
      <c r="B371" s="15" t="str">
        <f>'Identificación y Evaluación'!$A$337</f>
        <v>Complejidad</v>
      </c>
      <c r="C371" s="15" t="str">
        <f>IF('Identificación y Evaluación'!H371="SI",'Identificación y Evaluación'!A371,"")</f>
        <v/>
      </c>
      <c r="D371" s="15">
        <f>'Identificación y Evaluación'!$G$379</f>
        <v>4</v>
      </c>
      <c r="E371" s="75"/>
      <c r="F371" s="76">
        <f t="shared" si="1"/>
        <v>0</v>
      </c>
    </row>
    <row r="372" ht="15.0" hidden="1" customHeight="1">
      <c r="A372" s="15"/>
      <c r="B372" s="15" t="str">
        <f>'Identificación y Evaluación'!$A$337</f>
        <v>Complejidad</v>
      </c>
      <c r="C372" s="15" t="str">
        <f>IF('Identificación y Evaluación'!H372="SI",'Identificación y Evaluación'!A372,"")</f>
        <v/>
      </c>
      <c r="D372" s="15">
        <f>'Identificación y Evaluación'!$G$379</f>
        <v>4</v>
      </c>
      <c r="E372" s="75"/>
      <c r="F372" s="76">
        <f t="shared" si="1"/>
        <v>0</v>
      </c>
    </row>
    <row r="373" ht="15.0" hidden="1" customHeight="1">
      <c r="A373" s="15"/>
      <c r="B373" s="15" t="str">
        <f>'Identificación y Evaluación'!$A$337</f>
        <v>Complejidad</v>
      </c>
      <c r="C373" s="15" t="str">
        <f>IF('Identificación y Evaluación'!H373="SI",'Identificación y Evaluación'!A373,"")</f>
        <v/>
      </c>
      <c r="D373" s="15">
        <f>'Identificación y Evaluación'!$G$379</f>
        <v>4</v>
      </c>
      <c r="E373" s="75"/>
      <c r="F373" s="76">
        <f t="shared" si="1"/>
        <v>0</v>
      </c>
    </row>
    <row r="374" ht="15.0" hidden="1" customHeight="1">
      <c r="A374" s="15"/>
      <c r="B374" s="15" t="str">
        <f>'Identificación y Evaluación'!$A$337</f>
        <v>Complejidad</v>
      </c>
      <c r="C374" s="15" t="str">
        <f>IF('Identificación y Evaluación'!H374="SI",'Identificación y Evaluación'!A374,"")</f>
        <v/>
      </c>
      <c r="D374" s="15">
        <f>'Identificación y Evaluación'!$G$379</f>
        <v>4</v>
      </c>
      <c r="E374" s="75"/>
      <c r="F374" s="76">
        <f t="shared" si="1"/>
        <v>0</v>
      </c>
    </row>
    <row r="375" ht="15.0" hidden="1" customHeight="1">
      <c r="A375" s="15"/>
      <c r="B375" s="15" t="str">
        <f>'Identificación y Evaluación'!$A$337</f>
        <v>Complejidad</v>
      </c>
      <c r="C375" s="15" t="str">
        <f>IF('Identificación y Evaluación'!H375="SI",'Identificación y Evaluación'!A375,"")</f>
        <v/>
      </c>
      <c r="D375" s="15">
        <f>'Identificación y Evaluación'!$G$379</f>
        <v>4</v>
      </c>
      <c r="E375" s="75"/>
      <c r="F375" s="76">
        <f t="shared" si="1"/>
        <v>0</v>
      </c>
    </row>
    <row r="376" ht="15.0" hidden="1" customHeight="1">
      <c r="A376" s="15"/>
      <c r="B376" s="15" t="str">
        <f>'Identificación y Evaluación'!$A$337</f>
        <v>Complejidad</v>
      </c>
      <c r="C376" s="15" t="str">
        <f>IF('Identificación y Evaluación'!H376="SI",'Identificación y Evaluación'!A376,"")</f>
        <v/>
      </c>
      <c r="D376" s="15">
        <f>'Identificación y Evaluación'!$G$379</f>
        <v>4</v>
      </c>
      <c r="E376" s="75"/>
      <c r="F376" s="76">
        <f t="shared" si="1"/>
        <v>0</v>
      </c>
    </row>
    <row r="377" ht="15.0" hidden="1" customHeight="1">
      <c r="A377" s="15"/>
      <c r="B377" s="15" t="str">
        <f>'Identificación y Evaluación'!$A$337</f>
        <v>Complejidad</v>
      </c>
      <c r="C377" s="15" t="str">
        <f>IF('Identificación y Evaluación'!H377="SI",'Identificación y Evaluación'!A377,"")</f>
        <v/>
      </c>
      <c r="D377" s="15">
        <f>'Identificación y Evaluación'!$G$379</f>
        <v>4</v>
      </c>
      <c r="E377" s="75"/>
      <c r="F377" s="76">
        <f t="shared" si="1"/>
        <v>0</v>
      </c>
    </row>
    <row r="378" ht="15.0" hidden="1" customHeight="1">
      <c r="A378" s="15"/>
      <c r="B378" s="15" t="str">
        <f>'Identificación y Evaluación'!$A$337</f>
        <v>Complejidad</v>
      </c>
      <c r="C378" s="15" t="str">
        <f>IF('Identificación y Evaluación'!H378="SI",'Identificación y Evaluación'!A378,"")</f>
        <v/>
      </c>
      <c r="D378" s="15">
        <f>'Identificación y Evaluación'!$G$379</f>
        <v>4</v>
      </c>
      <c r="E378" s="75"/>
      <c r="F378" s="76">
        <f t="shared" si="1"/>
        <v>0</v>
      </c>
    </row>
    <row r="379" ht="15.0" hidden="1" customHeight="1">
      <c r="A379" s="15"/>
      <c r="B379" s="15" t="str">
        <f>'Identificación y Evaluación'!$A$337</f>
        <v>Complejidad</v>
      </c>
      <c r="C379" s="15" t="str">
        <f>IF('Identificación y Evaluación'!H379="SI",'Identificación y Evaluación'!A379,"")</f>
        <v/>
      </c>
      <c r="D379" s="15">
        <f>'Identificación y Evaluación'!$G$379</f>
        <v>4</v>
      </c>
      <c r="E379" s="75"/>
      <c r="F379" s="76">
        <f t="shared" si="1"/>
        <v>0</v>
      </c>
    </row>
    <row r="380" ht="15.0" hidden="1" customHeight="1">
      <c r="A380" s="15"/>
      <c r="B380" s="15" t="str">
        <f>'Identificación y Evaluación'!$A$337</f>
        <v>Complejidad</v>
      </c>
      <c r="C380" s="15" t="str">
        <f>IF('Identificación y Evaluación'!H380="SI",'Identificación y Evaluación'!A380,"")</f>
        <v/>
      </c>
      <c r="D380" s="15">
        <f>'Identificación y Evaluación'!$G$379</f>
        <v>4</v>
      </c>
      <c r="E380" s="75"/>
      <c r="F380" s="76">
        <f t="shared" si="1"/>
        <v>0</v>
      </c>
    </row>
    <row r="381" ht="15.0" hidden="1" customHeight="1">
      <c r="A381" s="15"/>
      <c r="B381" s="15" t="str">
        <f>'Identificación y Evaluación'!$A$337</f>
        <v>Complejidad</v>
      </c>
      <c r="C381" s="15" t="str">
        <f>IF('Identificación y Evaluación'!H381="SI",'Identificación y Evaluación'!A381,"")</f>
        <v/>
      </c>
      <c r="D381" s="15">
        <f>'Identificación y Evaluación'!$G$379</f>
        <v>4</v>
      </c>
      <c r="E381" s="75"/>
      <c r="F381" s="76">
        <f t="shared" si="1"/>
        <v>0</v>
      </c>
    </row>
    <row r="382" ht="15.0" hidden="1" customHeight="1">
      <c r="A382" s="15"/>
      <c r="B382" s="15" t="str">
        <f>'Identificación y Evaluación'!$A$337</f>
        <v>Complejidad</v>
      </c>
      <c r="C382" s="15" t="str">
        <f>IF('Identificación y Evaluación'!H382="SI",'Identificación y Evaluación'!A382,"")</f>
        <v/>
      </c>
      <c r="D382" s="15">
        <f>'Identificación y Evaluación'!$G$379</f>
        <v>4</v>
      </c>
      <c r="E382" s="75"/>
      <c r="F382" s="76">
        <f t="shared" si="1"/>
        <v>0</v>
      </c>
    </row>
    <row r="383" ht="15.0" hidden="1" customHeight="1">
      <c r="A383" s="15"/>
      <c r="B383" s="15" t="str">
        <f>'Identificación y Evaluación'!$A$337</f>
        <v>Complejidad</v>
      </c>
      <c r="C383" s="15" t="str">
        <f>IF('Identificación y Evaluación'!H383="SI",'Identificación y Evaluación'!A383,"")</f>
        <v/>
      </c>
      <c r="D383" s="15">
        <f>'Identificación y Evaluación'!$G$379</f>
        <v>4</v>
      </c>
      <c r="E383" s="75"/>
      <c r="F383" s="76">
        <f t="shared" si="1"/>
        <v>0</v>
      </c>
    </row>
    <row r="384" ht="15.0" hidden="1" customHeight="1">
      <c r="A384" s="15"/>
      <c r="B384" s="15" t="str">
        <f>'Identificación y Evaluación'!$A$337</f>
        <v>Complejidad</v>
      </c>
      <c r="C384" s="15" t="str">
        <f>IF('Identificación y Evaluación'!H384="SI",'Identificación y Evaluación'!A384,"")</f>
        <v/>
      </c>
      <c r="D384" s="15">
        <f>'Identificación y Evaluación'!$G$379</f>
        <v>4</v>
      </c>
      <c r="E384" s="75"/>
      <c r="F384" s="76">
        <f t="shared" si="1"/>
        <v>0</v>
      </c>
    </row>
    <row r="385" ht="15.0" hidden="1" customHeight="1">
      <c r="A385" s="15"/>
      <c r="B385" s="15" t="str">
        <f>'Identificación y Evaluación'!$A$385</f>
        <v>Aspectos Financieros</v>
      </c>
      <c r="C385" s="15" t="str">
        <f>IF('Identificación y Evaluación'!H385="SI",'Identificación y Evaluación'!A385,"")</f>
        <v/>
      </c>
      <c r="D385" s="15">
        <f>'Identificación y Evaluación'!$G$427</f>
        <v>3</v>
      </c>
      <c r="E385" s="75"/>
      <c r="F385" s="76">
        <f t="shared" si="1"/>
        <v>0</v>
      </c>
    </row>
    <row r="386" ht="15.75" hidden="1" customHeight="1">
      <c r="A386" s="15"/>
      <c r="B386" s="15" t="str">
        <f>'Identificación y Evaluación'!$A$385</f>
        <v>Aspectos Financieros</v>
      </c>
      <c r="C386" s="15" t="str">
        <f>IF('Identificación y Evaluación'!H386="SI",'Identificación y Evaluación'!A386,"")</f>
        <v/>
      </c>
      <c r="D386" s="15">
        <f>'Identificación y Evaluación'!$G$427</f>
        <v>3</v>
      </c>
      <c r="E386" s="75"/>
      <c r="F386" s="76">
        <f t="shared" si="1"/>
        <v>0</v>
      </c>
    </row>
    <row r="387" ht="15.75" hidden="1" customHeight="1">
      <c r="A387" s="15"/>
      <c r="B387" s="15" t="str">
        <f>'Identificación y Evaluación'!$A$385</f>
        <v>Aspectos Financieros</v>
      </c>
      <c r="C387" s="15" t="str">
        <f>IF('Identificación y Evaluación'!H387="SI",'Identificación y Evaluación'!A387,"")</f>
        <v/>
      </c>
      <c r="D387" s="15">
        <f>'Identificación y Evaluación'!$G$427</f>
        <v>3</v>
      </c>
      <c r="E387" s="75"/>
      <c r="F387" s="76">
        <f t="shared" si="1"/>
        <v>0</v>
      </c>
    </row>
    <row r="388" ht="15.75" hidden="1" customHeight="1">
      <c r="A388" s="15"/>
      <c r="B388" s="15" t="str">
        <f>'Identificación y Evaluación'!$A$385</f>
        <v>Aspectos Financieros</v>
      </c>
      <c r="C388" s="15" t="str">
        <f>IF('Identificación y Evaluación'!H388="SI",'Identificación y Evaluación'!A388,"")</f>
        <v/>
      </c>
      <c r="D388" s="15">
        <f>'Identificación y Evaluación'!$G$427</f>
        <v>3</v>
      </c>
      <c r="E388" s="75"/>
      <c r="F388" s="76">
        <f t="shared" si="1"/>
        <v>0</v>
      </c>
    </row>
    <row r="389" ht="15.75" hidden="1" customHeight="1">
      <c r="A389" s="15"/>
      <c r="B389" s="15" t="str">
        <f>'Identificación y Evaluación'!$A$385</f>
        <v>Aspectos Financieros</v>
      </c>
      <c r="C389" s="15" t="str">
        <f>IF('Identificación y Evaluación'!H389="SI",'Identificación y Evaluación'!A389,"")</f>
        <v/>
      </c>
      <c r="D389" s="15">
        <f>'Identificación y Evaluación'!$G$427</f>
        <v>3</v>
      </c>
      <c r="E389" s="75"/>
      <c r="F389" s="76">
        <f t="shared" si="1"/>
        <v>0</v>
      </c>
    </row>
    <row r="390" ht="15.75" hidden="1" customHeight="1">
      <c r="A390" s="15"/>
      <c r="B390" s="15" t="str">
        <f>'Identificación y Evaluación'!$A$385</f>
        <v>Aspectos Financieros</v>
      </c>
      <c r="C390" s="15" t="str">
        <f>IF('Identificación y Evaluación'!H390="SI",'Identificación y Evaluación'!A390,"")</f>
        <v/>
      </c>
      <c r="D390" s="15">
        <f>'Identificación y Evaluación'!$G$427</f>
        <v>3</v>
      </c>
      <c r="E390" s="75"/>
      <c r="F390" s="76">
        <f t="shared" si="1"/>
        <v>0</v>
      </c>
    </row>
    <row r="391" ht="15.75" hidden="1" customHeight="1">
      <c r="A391" s="15"/>
      <c r="B391" s="15" t="str">
        <f>'Identificación y Evaluación'!$A$385</f>
        <v>Aspectos Financieros</v>
      </c>
      <c r="C391" s="15" t="str">
        <f>IF('Identificación y Evaluación'!H391="SI",'Identificación y Evaluación'!A391,"")</f>
        <v/>
      </c>
      <c r="D391" s="15">
        <f>'Identificación y Evaluación'!$G$427</f>
        <v>3</v>
      </c>
      <c r="E391" s="75"/>
      <c r="F391" s="76">
        <f t="shared" si="1"/>
        <v>0</v>
      </c>
    </row>
    <row r="392" ht="15.0" hidden="1" customHeight="1">
      <c r="A392" s="15"/>
      <c r="B392" s="15" t="str">
        <f>'Identificación y Evaluación'!$A$385</f>
        <v>Aspectos Financieros</v>
      </c>
      <c r="C392" s="15" t="str">
        <f>IF('Identificación y Evaluación'!H392="SI",'Identificación y Evaluación'!A392,"")</f>
        <v/>
      </c>
      <c r="D392" s="15">
        <f>'Identificación y Evaluación'!$G$427</f>
        <v>3</v>
      </c>
      <c r="E392" s="75"/>
      <c r="F392" s="76">
        <f t="shared" si="1"/>
        <v>0</v>
      </c>
    </row>
    <row r="393" ht="15.0" hidden="1" customHeight="1">
      <c r="A393" s="15"/>
      <c r="B393" s="15" t="str">
        <f>'Identificación y Evaluación'!$A$385</f>
        <v>Aspectos Financieros</v>
      </c>
      <c r="C393" s="15" t="str">
        <f>IF('Identificación y Evaluación'!H393="SI",'Identificación y Evaluación'!A393,"")</f>
        <v/>
      </c>
      <c r="D393" s="15">
        <f>'Identificación y Evaluación'!$G$427</f>
        <v>3</v>
      </c>
      <c r="E393" s="75"/>
      <c r="F393" s="76">
        <f t="shared" si="1"/>
        <v>0</v>
      </c>
    </row>
    <row r="394" ht="15.0" hidden="1" customHeight="1">
      <c r="A394" s="15"/>
      <c r="B394" s="15" t="str">
        <f>'Identificación y Evaluación'!$A$385</f>
        <v>Aspectos Financieros</v>
      </c>
      <c r="C394" s="15" t="str">
        <f>IF('Identificación y Evaluación'!H394="SI",'Identificación y Evaluación'!A394,"")</f>
        <v/>
      </c>
      <c r="D394" s="15">
        <f>'Identificación y Evaluación'!$G$427</f>
        <v>3</v>
      </c>
      <c r="E394" s="75"/>
      <c r="F394" s="76">
        <f t="shared" si="1"/>
        <v>0</v>
      </c>
    </row>
    <row r="395" ht="15.0" hidden="1" customHeight="1">
      <c r="A395" s="15"/>
      <c r="B395" s="15" t="str">
        <f>'Identificación y Evaluación'!$A$385</f>
        <v>Aspectos Financieros</v>
      </c>
      <c r="C395" s="15" t="str">
        <f>IF('Identificación y Evaluación'!H395="SI",'Identificación y Evaluación'!A395,"")</f>
        <v/>
      </c>
      <c r="D395" s="15">
        <f>'Identificación y Evaluación'!$G$427</f>
        <v>3</v>
      </c>
      <c r="E395" s="75"/>
      <c r="F395" s="76">
        <f t="shared" si="1"/>
        <v>0</v>
      </c>
    </row>
    <row r="396" ht="15.0" hidden="1" customHeight="1">
      <c r="A396" s="15"/>
      <c r="B396" s="15" t="str">
        <f>'Identificación y Evaluación'!$A$385</f>
        <v>Aspectos Financieros</v>
      </c>
      <c r="C396" s="15" t="str">
        <f>IF('Identificación y Evaluación'!H396="SI",'Identificación y Evaluación'!A396,"")</f>
        <v/>
      </c>
      <c r="D396" s="15">
        <f>'Identificación y Evaluación'!$G$427</f>
        <v>3</v>
      </c>
      <c r="E396" s="75"/>
      <c r="F396" s="76">
        <f t="shared" si="1"/>
        <v>0</v>
      </c>
    </row>
    <row r="397" ht="15.0" hidden="1" customHeight="1">
      <c r="A397" s="15"/>
      <c r="B397" s="15" t="str">
        <f>'Identificación y Evaluación'!$A$385</f>
        <v>Aspectos Financieros</v>
      </c>
      <c r="C397" s="15" t="str">
        <f>IF('Identificación y Evaluación'!H397="SI",'Identificación y Evaluación'!A397,"")</f>
        <v/>
      </c>
      <c r="D397" s="15">
        <f>'Identificación y Evaluación'!$G$427</f>
        <v>3</v>
      </c>
      <c r="E397" s="75"/>
      <c r="F397" s="76">
        <f t="shared" si="1"/>
        <v>0</v>
      </c>
    </row>
    <row r="398" ht="15.0" hidden="1" customHeight="1">
      <c r="A398" s="15"/>
      <c r="B398" s="15" t="str">
        <f>'Identificación y Evaluación'!$A$385</f>
        <v>Aspectos Financieros</v>
      </c>
      <c r="C398" s="15" t="str">
        <f>IF('Identificación y Evaluación'!H398="SI",'Identificación y Evaluación'!A398,"")</f>
        <v/>
      </c>
      <c r="D398" s="15">
        <f>'Identificación y Evaluación'!$G$427</f>
        <v>3</v>
      </c>
      <c r="E398" s="75"/>
      <c r="F398" s="76">
        <f t="shared" si="1"/>
        <v>0</v>
      </c>
    </row>
    <row r="399" ht="15.0" hidden="1" customHeight="1">
      <c r="A399" s="15"/>
      <c r="B399" s="15" t="str">
        <f>'Identificación y Evaluación'!$A$385</f>
        <v>Aspectos Financieros</v>
      </c>
      <c r="C399" s="15" t="str">
        <f>IF('Identificación y Evaluación'!H399="SI",'Identificación y Evaluación'!A399,"")</f>
        <v/>
      </c>
      <c r="D399" s="15">
        <f>'Identificación y Evaluación'!$G$427</f>
        <v>3</v>
      </c>
      <c r="E399" s="75"/>
      <c r="F399" s="76">
        <f t="shared" si="1"/>
        <v>0</v>
      </c>
    </row>
    <row r="400" ht="15.0" hidden="1" customHeight="1">
      <c r="A400" s="15"/>
      <c r="B400" s="15" t="str">
        <f>'Identificación y Evaluación'!$A$385</f>
        <v>Aspectos Financieros</v>
      </c>
      <c r="C400" s="15" t="str">
        <f>IF('Identificación y Evaluación'!H400="SI",'Identificación y Evaluación'!A400,"")</f>
        <v/>
      </c>
      <c r="D400" s="15">
        <f>'Identificación y Evaluación'!$G$427</f>
        <v>3</v>
      </c>
      <c r="E400" s="75"/>
      <c r="F400" s="76">
        <f t="shared" si="1"/>
        <v>0</v>
      </c>
    </row>
    <row r="401" ht="15.0" hidden="1" customHeight="1">
      <c r="A401" s="15"/>
      <c r="B401" s="15" t="str">
        <f>'Identificación y Evaluación'!$A$385</f>
        <v>Aspectos Financieros</v>
      </c>
      <c r="C401" s="15" t="str">
        <f>IF('Identificación y Evaluación'!H401="SI",'Identificación y Evaluación'!A401,"")</f>
        <v/>
      </c>
      <c r="D401" s="15">
        <f>'Identificación y Evaluación'!$G$427</f>
        <v>3</v>
      </c>
      <c r="E401" s="75"/>
      <c r="F401" s="76">
        <f t="shared" si="1"/>
        <v>0</v>
      </c>
    </row>
    <row r="402" ht="15.0" hidden="1" customHeight="1">
      <c r="A402" s="15"/>
      <c r="B402" s="15" t="str">
        <f>'Identificación y Evaluación'!$A$385</f>
        <v>Aspectos Financieros</v>
      </c>
      <c r="C402" s="15" t="str">
        <f>IF('Identificación y Evaluación'!H402="SI",'Identificación y Evaluación'!A402,"")</f>
        <v/>
      </c>
      <c r="D402" s="15">
        <f>'Identificación y Evaluación'!$G$427</f>
        <v>3</v>
      </c>
      <c r="E402" s="75"/>
      <c r="F402" s="76">
        <f t="shared" si="1"/>
        <v>0</v>
      </c>
    </row>
    <row r="403" ht="15.0" hidden="1" customHeight="1">
      <c r="A403" s="15"/>
      <c r="B403" s="15" t="str">
        <f>'Identificación y Evaluación'!$A$385</f>
        <v>Aspectos Financieros</v>
      </c>
      <c r="C403" s="15" t="str">
        <f>IF('Identificación y Evaluación'!H403="SI",'Identificación y Evaluación'!A403,"")</f>
        <v/>
      </c>
      <c r="D403" s="15">
        <f>'Identificación y Evaluación'!$G$427</f>
        <v>3</v>
      </c>
      <c r="E403" s="75"/>
      <c r="F403" s="76">
        <f t="shared" si="1"/>
        <v>0</v>
      </c>
    </row>
    <row r="404" ht="15.0" hidden="1" customHeight="1">
      <c r="A404" s="15"/>
      <c r="B404" s="15" t="str">
        <f>'Identificación y Evaluación'!$A$385</f>
        <v>Aspectos Financieros</v>
      </c>
      <c r="C404" s="15" t="str">
        <f>IF('Identificación y Evaluación'!H404="SI",'Identificación y Evaluación'!A404,"")</f>
        <v/>
      </c>
      <c r="D404" s="15">
        <f>'Identificación y Evaluación'!$G$427</f>
        <v>3</v>
      </c>
      <c r="E404" s="75"/>
      <c r="F404" s="76">
        <f t="shared" si="1"/>
        <v>0</v>
      </c>
    </row>
    <row r="405" ht="15.0" hidden="1" customHeight="1">
      <c r="A405" s="15"/>
      <c r="B405" s="15" t="str">
        <f>'Identificación y Evaluación'!$A$385</f>
        <v>Aspectos Financieros</v>
      </c>
      <c r="C405" s="15" t="str">
        <f>IF('Identificación y Evaluación'!H405="SI",'Identificación y Evaluación'!A405,"")</f>
        <v/>
      </c>
      <c r="D405" s="15">
        <f>'Identificación y Evaluación'!$G$427</f>
        <v>3</v>
      </c>
      <c r="E405" s="75"/>
      <c r="F405" s="76">
        <f t="shared" si="1"/>
        <v>0</v>
      </c>
    </row>
    <row r="406" ht="15.0" hidden="1" customHeight="1">
      <c r="A406" s="15"/>
      <c r="B406" s="15" t="str">
        <f>'Identificación y Evaluación'!$A$385</f>
        <v>Aspectos Financieros</v>
      </c>
      <c r="C406" s="15" t="str">
        <f>IF('Identificación y Evaluación'!H406="SI",'Identificación y Evaluación'!A406,"")</f>
        <v/>
      </c>
      <c r="D406" s="15">
        <f>'Identificación y Evaluación'!$G$427</f>
        <v>3</v>
      </c>
      <c r="E406" s="75"/>
      <c r="F406" s="76">
        <f t="shared" si="1"/>
        <v>0</v>
      </c>
    </row>
    <row r="407" ht="15.0" hidden="1" customHeight="1">
      <c r="A407" s="15"/>
      <c r="B407" s="15" t="str">
        <f>'Identificación y Evaluación'!$A$385</f>
        <v>Aspectos Financieros</v>
      </c>
      <c r="C407" s="15" t="str">
        <f>IF('Identificación y Evaluación'!H407="SI",'Identificación y Evaluación'!A407,"")</f>
        <v/>
      </c>
      <c r="D407" s="15">
        <f>'Identificación y Evaluación'!$G$427</f>
        <v>3</v>
      </c>
      <c r="E407" s="75"/>
      <c r="F407" s="76">
        <f t="shared" si="1"/>
        <v>0</v>
      </c>
    </row>
    <row r="408" ht="15.0" hidden="1" customHeight="1">
      <c r="A408" s="15"/>
      <c r="B408" s="15" t="str">
        <f>'Identificación y Evaluación'!$A$385</f>
        <v>Aspectos Financieros</v>
      </c>
      <c r="C408" s="15" t="str">
        <f>IF('Identificación y Evaluación'!H408="SI",'Identificación y Evaluación'!A408,"")</f>
        <v/>
      </c>
      <c r="D408" s="15">
        <f>'Identificación y Evaluación'!$G$427</f>
        <v>3</v>
      </c>
      <c r="E408" s="75"/>
      <c r="F408" s="76">
        <f t="shared" si="1"/>
        <v>0</v>
      </c>
    </row>
    <row r="409" ht="15.0" hidden="1" customHeight="1">
      <c r="A409" s="15"/>
      <c r="B409" s="15" t="str">
        <f>'Identificación y Evaluación'!$A$385</f>
        <v>Aspectos Financieros</v>
      </c>
      <c r="C409" s="15" t="str">
        <f>IF('Identificación y Evaluación'!H409="SI",'Identificación y Evaluación'!A409,"")</f>
        <v/>
      </c>
      <c r="D409" s="15">
        <f>'Identificación y Evaluación'!$G$427</f>
        <v>3</v>
      </c>
      <c r="E409" s="75"/>
      <c r="F409" s="76">
        <f t="shared" si="1"/>
        <v>0</v>
      </c>
    </row>
    <row r="410" ht="15.0" hidden="1" customHeight="1">
      <c r="A410" s="15"/>
      <c r="B410" s="15" t="str">
        <f>'Identificación y Evaluación'!$A$385</f>
        <v>Aspectos Financieros</v>
      </c>
      <c r="C410" s="15" t="str">
        <f>IF('Identificación y Evaluación'!H410="SI",'Identificación y Evaluación'!A410,"")</f>
        <v/>
      </c>
      <c r="D410" s="15">
        <f>'Identificación y Evaluación'!$G$427</f>
        <v>3</v>
      </c>
      <c r="E410" s="75"/>
      <c r="F410" s="76">
        <f t="shared" si="1"/>
        <v>0</v>
      </c>
    </row>
    <row r="411" ht="15.0" hidden="1" customHeight="1">
      <c r="A411" s="15"/>
      <c r="B411" s="15" t="str">
        <f>'Identificación y Evaluación'!$A$385</f>
        <v>Aspectos Financieros</v>
      </c>
      <c r="C411" s="15" t="str">
        <f>IF('Identificación y Evaluación'!H411="SI",'Identificación y Evaluación'!A411,"")</f>
        <v/>
      </c>
      <c r="D411" s="15">
        <f>'Identificación y Evaluación'!$G$427</f>
        <v>3</v>
      </c>
      <c r="E411" s="75"/>
      <c r="F411" s="76">
        <f t="shared" si="1"/>
        <v>0</v>
      </c>
    </row>
    <row r="412" ht="15.0" hidden="1" customHeight="1">
      <c r="A412" s="15"/>
      <c r="B412" s="15" t="str">
        <f>'Identificación y Evaluación'!$A$385</f>
        <v>Aspectos Financieros</v>
      </c>
      <c r="C412" s="15" t="str">
        <f>IF('Identificación y Evaluación'!H412="SI",'Identificación y Evaluación'!A412,"")</f>
        <v/>
      </c>
      <c r="D412" s="15">
        <f>'Identificación y Evaluación'!$G$427</f>
        <v>3</v>
      </c>
      <c r="E412" s="75"/>
      <c r="F412" s="76">
        <f t="shared" si="1"/>
        <v>0</v>
      </c>
    </row>
    <row r="413" ht="15.0" hidden="1" customHeight="1">
      <c r="A413" s="15"/>
      <c r="B413" s="15" t="str">
        <f>'Identificación y Evaluación'!$A$385</f>
        <v>Aspectos Financieros</v>
      </c>
      <c r="C413" s="15" t="str">
        <f>IF('Identificación y Evaluación'!H413="SI",'Identificación y Evaluación'!A413,"")</f>
        <v/>
      </c>
      <c r="D413" s="15">
        <f>'Identificación y Evaluación'!$G$427</f>
        <v>3</v>
      </c>
      <c r="E413" s="75"/>
      <c r="F413" s="76">
        <f t="shared" si="1"/>
        <v>0</v>
      </c>
    </row>
    <row r="414" ht="15.0" hidden="1" customHeight="1">
      <c r="A414" s="15"/>
      <c r="B414" s="15" t="str">
        <f>'Identificación y Evaluación'!$A$385</f>
        <v>Aspectos Financieros</v>
      </c>
      <c r="C414" s="15" t="str">
        <f>IF('Identificación y Evaluación'!H414="SI",'Identificación y Evaluación'!A414,"")</f>
        <v/>
      </c>
      <c r="D414" s="15">
        <f>'Identificación y Evaluación'!$G$427</f>
        <v>3</v>
      </c>
      <c r="E414" s="75"/>
      <c r="F414" s="76">
        <f t="shared" si="1"/>
        <v>0</v>
      </c>
    </row>
    <row r="415" ht="15.0" hidden="1" customHeight="1">
      <c r="A415" s="15"/>
      <c r="B415" s="15" t="str">
        <f>'Identificación y Evaluación'!$A$385</f>
        <v>Aspectos Financieros</v>
      </c>
      <c r="C415" s="15" t="str">
        <f>IF('Identificación y Evaluación'!H415="SI",'Identificación y Evaluación'!A415,"")</f>
        <v/>
      </c>
      <c r="D415" s="15">
        <f>'Identificación y Evaluación'!$G$427</f>
        <v>3</v>
      </c>
      <c r="E415" s="75"/>
      <c r="F415" s="76">
        <f t="shared" si="1"/>
        <v>0</v>
      </c>
    </row>
    <row r="416" ht="15.0" hidden="1" customHeight="1">
      <c r="A416" s="15"/>
      <c r="B416" s="15" t="str">
        <f>'Identificación y Evaluación'!$A$385</f>
        <v>Aspectos Financieros</v>
      </c>
      <c r="C416" s="15" t="str">
        <f>IF('Identificación y Evaluación'!H416="SI",'Identificación y Evaluación'!A416,"")</f>
        <v/>
      </c>
      <c r="D416" s="15">
        <f>'Identificación y Evaluación'!$G$427</f>
        <v>3</v>
      </c>
      <c r="E416" s="75"/>
      <c r="F416" s="76">
        <f t="shared" si="1"/>
        <v>0</v>
      </c>
    </row>
    <row r="417" ht="15.0" hidden="1" customHeight="1">
      <c r="A417" s="15"/>
      <c r="B417" s="15" t="str">
        <f>'Identificación y Evaluación'!$A$385</f>
        <v>Aspectos Financieros</v>
      </c>
      <c r="C417" s="15" t="str">
        <f>IF('Identificación y Evaluación'!H417="SI",'Identificación y Evaluación'!A417,"")</f>
        <v/>
      </c>
      <c r="D417" s="15">
        <f>'Identificación y Evaluación'!$G$427</f>
        <v>3</v>
      </c>
      <c r="E417" s="75"/>
      <c r="F417" s="76">
        <f t="shared" si="1"/>
        <v>0</v>
      </c>
    </row>
    <row r="418" ht="15.0" hidden="1" customHeight="1">
      <c r="A418" s="15"/>
      <c r="B418" s="15" t="str">
        <f>'Identificación y Evaluación'!$A$385</f>
        <v>Aspectos Financieros</v>
      </c>
      <c r="C418" s="15" t="str">
        <f>IF('Identificación y Evaluación'!H418="SI",'Identificación y Evaluación'!A418,"")</f>
        <v/>
      </c>
      <c r="D418" s="15">
        <f>'Identificación y Evaluación'!$G$427</f>
        <v>3</v>
      </c>
      <c r="E418" s="75"/>
      <c r="F418" s="76">
        <f t="shared" si="1"/>
        <v>0</v>
      </c>
    </row>
    <row r="419" ht="15.0" hidden="1" customHeight="1">
      <c r="A419" s="15"/>
      <c r="B419" s="15" t="str">
        <f>'Identificación y Evaluación'!$A$385</f>
        <v>Aspectos Financieros</v>
      </c>
      <c r="C419" s="15" t="str">
        <f>IF('Identificación y Evaluación'!H419="SI",'Identificación y Evaluación'!A419,"")</f>
        <v/>
      </c>
      <c r="D419" s="15">
        <f>'Identificación y Evaluación'!$G$427</f>
        <v>3</v>
      </c>
      <c r="E419" s="75"/>
      <c r="F419" s="76">
        <f t="shared" si="1"/>
        <v>0</v>
      </c>
    </row>
    <row r="420" ht="15.0" hidden="1" customHeight="1">
      <c r="A420" s="15"/>
      <c r="B420" s="15" t="str">
        <f>'Identificación y Evaluación'!$A$385</f>
        <v>Aspectos Financieros</v>
      </c>
      <c r="C420" s="15" t="str">
        <f>IF('Identificación y Evaluación'!H420="SI",'Identificación y Evaluación'!A420,"")</f>
        <v/>
      </c>
      <c r="D420" s="15">
        <f>'Identificación y Evaluación'!$G$427</f>
        <v>3</v>
      </c>
      <c r="E420" s="75"/>
      <c r="F420" s="76">
        <f t="shared" si="1"/>
        <v>0</v>
      </c>
    </row>
    <row r="421" ht="15.0" hidden="1" customHeight="1">
      <c r="A421" s="15"/>
      <c r="B421" s="15" t="str">
        <f>'Identificación y Evaluación'!$A$385</f>
        <v>Aspectos Financieros</v>
      </c>
      <c r="C421" s="15" t="str">
        <f>IF('Identificación y Evaluación'!H421="SI",'Identificación y Evaluación'!A421,"")</f>
        <v/>
      </c>
      <c r="D421" s="15">
        <f>'Identificación y Evaluación'!$G$427</f>
        <v>3</v>
      </c>
      <c r="E421" s="75"/>
      <c r="F421" s="76">
        <f t="shared" si="1"/>
        <v>0</v>
      </c>
    </row>
    <row r="422" ht="15.0" hidden="1" customHeight="1">
      <c r="A422" s="15"/>
      <c r="B422" s="15" t="str">
        <f>'Identificación y Evaluación'!$A$385</f>
        <v>Aspectos Financieros</v>
      </c>
      <c r="C422" s="15" t="str">
        <f>IF('Identificación y Evaluación'!H422="SI",'Identificación y Evaluación'!A422,"")</f>
        <v/>
      </c>
      <c r="D422" s="15">
        <f>'Identificación y Evaluación'!$G$427</f>
        <v>3</v>
      </c>
      <c r="E422" s="75"/>
      <c r="F422" s="76">
        <f t="shared" si="1"/>
        <v>0</v>
      </c>
    </row>
    <row r="423" ht="15.0" hidden="1" customHeight="1">
      <c r="A423" s="15"/>
      <c r="B423" s="15" t="str">
        <f>'Identificación y Evaluación'!$A$385</f>
        <v>Aspectos Financieros</v>
      </c>
      <c r="C423" s="15" t="str">
        <f>IF('Identificación y Evaluación'!H423="SI",'Identificación y Evaluación'!A423,"")</f>
        <v/>
      </c>
      <c r="D423" s="15">
        <f>'Identificación y Evaluación'!$G$427</f>
        <v>3</v>
      </c>
      <c r="E423" s="75"/>
      <c r="F423" s="76">
        <f t="shared" si="1"/>
        <v>0</v>
      </c>
    </row>
    <row r="424" ht="15.0" hidden="1" customHeight="1">
      <c r="A424" s="15"/>
      <c r="B424" s="15" t="str">
        <f>'Identificación y Evaluación'!$A$385</f>
        <v>Aspectos Financieros</v>
      </c>
      <c r="C424" s="15" t="str">
        <f>IF('Identificación y Evaluación'!H424="SI",'Identificación y Evaluación'!A424,"")</f>
        <v/>
      </c>
      <c r="D424" s="15">
        <f>'Identificación y Evaluación'!$G$427</f>
        <v>3</v>
      </c>
      <c r="E424" s="75"/>
      <c r="F424" s="76">
        <f t="shared" si="1"/>
        <v>0</v>
      </c>
    </row>
    <row r="425" ht="15.0" hidden="1" customHeight="1">
      <c r="A425" s="15"/>
      <c r="B425" s="15" t="str">
        <f>'Identificación y Evaluación'!$A$385</f>
        <v>Aspectos Financieros</v>
      </c>
      <c r="C425" s="15" t="str">
        <f>IF('Identificación y Evaluación'!H425="SI",'Identificación y Evaluación'!A425,"")</f>
        <v/>
      </c>
      <c r="D425" s="15">
        <f>'Identificación y Evaluación'!$G$427</f>
        <v>3</v>
      </c>
      <c r="E425" s="75"/>
      <c r="F425" s="76">
        <f t="shared" si="1"/>
        <v>0</v>
      </c>
    </row>
    <row r="426" ht="15.0" hidden="1" customHeight="1">
      <c r="A426" s="15"/>
      <c r="B426" s="15" t="str">
        <f>'Identificación y Evaluación'!$A$385</f>
        <v>Aspectos Financieros</v>
      </c>
      <c r="C426" s="15" t="str">
        <f>IF('Identificación y Evaluación'!H426="SI",'Identificación y Evaluación'!A426,"")</f>
        <v/>
      </c>
      <c r="D426" s="15">
        <f>'Identificación y Evaluación'!$G$427</f>
        <v>3</v>
      </c>
      <c r="E426" s="75"/>
      <c r="F426" s="76">
        <f t="shared" si="1"/>
        <v>0</v>
      </c>
    </row>
    <row r="427" ht="15.0" hidden="1" customHeight="1">
      <c r="A427" s="15"/>
      <c r="B427" s="15" t="str">
        <f>'Identificación y Evaluación'!$A$385</f>
        <v>Aspectos Financieros</v>
      </c>
      <c r="C427" s="15" t="str">
        <f>IF('Identificación y Evaluación'!H427="SI",'Identificación y Evaluación'!A427,"")</f>
        <v/>
      </c>
      <c r="D427" s="15">
        <f>'Identificación y Evaluación'!$G$427</f>
        <v>3</v>
      </c>
      <c r="E427" s="75"/>
      <c r="F427" s="76">
        <f t="shared" si="1"/>
        <v>0</v>
      </c>
    </row>
    <row r="428" ht="15.0" hidden="1" customHeight="1">
      <c r="A428" s="15"/>
      <c r="B428" s="15" t="str">
        <f>'Identificación y Evaluación'!$A$385</f>
        <v>Aspectos Financieros</v>
      </c>
      <c r="C428" s="15" t="str">
        <f>IF('Identificación y Evaluación'!H428="SI",'Identificación y Evaluación'!A428,"")</f>
        <v/>
      </c>
      <c r="D428" s="15">
        <f>'Identificación y Evaluación'!$G$427</f>
        <v>3</v>
      </c>
      <c r="E428" s="75"/>
      <c r="F428" s="76">
        <f t="shared" si="1"/>
        <v>0</v>
      </c>
    </row>
    <row r="429" ht="15.0" hidden="1" customHeight="1">
      <c r="A429" s="15"/>
      <c r="B429" s="15" t="str">
        <f>'Identificación y Evaluación'!$A$385</f>
        <v>Aspectos Financieros</v>
      </c>
      <c r="C429" s="15" t="str">
        <f>IF('Identificación y Evaluación'!H429="SI",'Identificación y Evaluación'!A429,"")</f>
        <v/>
      </c>
      <c r="D429" s="15">
        <f>'Identificación y Evaluación'!$G$427</f>
        <v>3</v>
      </c>
      <c r="E429" s="75"/>
      <c r="F429" s="76">
        <f t="shared" si="1"/>
        <v>0</v>
      </c>
    </row>
    <row r="430" ht="15.0" hidden="1" customHeight="1">
      <c r="A430" s="15"/>
      <c r="B430" s="15" t="str">
        <f>'Identificación y Evaluación'!$A$385</f>
        <v>Aspectos Financieros</v>
      </c>
      <c r="C430" s="15" t="str">
        <f>IF('Identificación y Evaluación'!H430="SI",'Identificación y Evaluación'!A430,"")</f>
        <v/>
      </c>
      <c r="D430" s="15">
        <f>'Identificación y Evaluación'!$G$427</f>
        <v>3</v>
      </c>
      <c r="E430" s="75"/>
      <c r="F430" s="76">
        <f t="shared" si="1"/>
        <v>0</v>
      </c>
    </row>
    <row r="431" ht="15.0" hidden="1" customHeight="1">
      <c r="A431" s="15"/>
      <c r="B431" s="15" t="str">
        <f>'Identificación y Evaluación'!$A$385</f>
        <v>Aspectos Financieros</v>
      </c>
      <c r="C431" s="15" t="str">
        <f>IF('Identificación y Evaluación'!H431="SI",'Identificación y Evaluación'!A431,"")</f>
        <v/>
      </c>
      <c r="D431" s="15">
        <f>'Identificación y Evaluación'!$G$427</f>
        <v>3</v>
      </c>
      <c r="E431" s="75"/>
      <c r="F431" s="76">
        <f t="shared" si="1"/>
        <v>0</v>
      </c>
    </row>
    <row r="432" ht="15.0" hidden="1" customHeight="1">
      <c r="A432" s="15"/>
      <c r="B432" s="15" t="str">
        <f>'Identificación y Evaluación'!$A$385</f>
        <v>Aspectos Financieros</v>
      </c>
      <c r="C432" s="15" t="str">
        <f>IF('Identificación y Evaluación'!H432="SI",'Identificación y Evaluación'!A432,"")</f>
        <v/>
      </c>
      <c r="D432" s="15">
        <f>'Identificación y Evaluación'!$G$427</f>
        <v>3</v>
      </c>
      <c r="E432" s="75"/>
      <c r="F432" s="76">
        <f t="shared" si="1"/>
        <v>0</v>
      </c>
    </row>
    <row r="433" ht="15.0" hidden="1" customHeight="1">
      <c r="A433" s="15"/>
      <c r="B433" s="15" t="str">
        <f>'Identificación y Evaluación'!$A$433</f>
        <v>Subcontratistas</v>
      </c>
      <c r="C433" s="15" t="str">
        <f>IF('Identificación y Evaluación'!H433="SI",'Identificación y Evaluación'!A433,"")</f>
        <v/>
      </c>
      <c r="D433" s="15">
        <f>'Identificación y Evaluación'!$G$475</f>
        <v>5</v>
      </c>
      <c r="E433" s="75"/>
      <c r="F433" s="76">
        <f t="shared" si="1"/>
        <v>0</v>
      </c>
    </row>
    <row r="434" ht="15.0" customHeight="1">
      <c r="A434" s="15"/>
      <c r="B434" s="15" t="str">
        <f>'Identificación y Evaluación'!$A$433</f>
        <v>Subcontratistas</v>
      </c>
      <c r="C434" s="15" t="str">
        <f>IF('Identificación y Evaluación'!H434="SI",'Identificación y Evaluación'!A434,"")</f>
        <v>Dado que el proyecto depende del uso de herramientas gratuitas podría ocurrir la limitación en la capacidad o disponibilidad de dichas plataformas lo que conduciría a dificultades para coordinar tareas y perdida de información critica</v>
      </c>
      <c r="D434" s="15">
        <f>'Identificación y Evaluación'!$G$475</f>
        <v>5</v>
      </c>
      <c r="E434" s="77">
        <v>0.9</v>
      </c>
      <c r="F434" s="76">
        <f t="shared" si="1"/>
        <v>450</v>
      </c>
    </row>
    <row r="435" ht="15.0" hidden="1" customHeight="1">
      <c r="A435" s="15"/>
      <c r="B435" s="15" t="str">
        <f>'Identificación y Evaluación'!$A$433</f>
        <v>Subcontratistas</v>
      </c>
      <c r="C435" s="15" t="str">
        <f>IF('Identificación y Evaluación'!H435="SI",'Identificación y Evaluación'!A435,"")</f>
        <v/>
      </c>
      <c r="D435" s="15">
        <f>'Identificación y Evaluación'!$G$475</f>
        <v>5</v>
      </c>
      <c r="E435" s="75"/>
      <c r="F435" s="76">
        <f t="shared" si="1"/>
        <v>0</v>
      </c>
    </row>
    <row r="436" ht="15.0" hidden="1" customHeight="1">
      <c r="A436" s="15"/>
      <c r="B436" s="15" t="str">
        <f>'Identificación y Evaluación'!$A$433</f>
        <v>Subcontratistas</v>
      </c>
      <c r="C436" s="15" t="str">
        <f>IF('Identificación y Evaluación'!H436="SI",'Identificación y Evaluación'!A436,"")</f>
        <v/>
      </c>
      <c r="D436" s="15">
        <f>'Identificación y Evaluación'!$G$475</f>
        <v>5</v>
      </c>
      <c r="E436" s="75"/>
      <c r="F436" s="76">
        <f t="shared" si="1"/>
        <v>0</v>
      </c>
    </row>
    <row r="437" ht="15.0" hidden="1" customHeight="1">
      <c r="A437" s="15"/>
      <c r="B437" s="15" t="str">
        <f>'Identificación y Evaluación'!$A$433</f>
        <v>Subcontratistas</v>
      </c>
      <c r="C437" s="15" t="str">
        <f>IF('Identificación y Evaluación'!H437="SI",'Identificación y Evaluación'!A437,"")</f>
        <v/>
      </c>
      <c r="D437" s="15">
        <f>'Identificación y Evaluación'!$G$475</f>
        <v>5</v>
      </c>
      <c r="E437" s="75"/>
      <c r="F437" s="76">
        <f t="shared" si="1"/>
        <v>0</v>
      </c>
    </row>
    <row r="438" ht="15.0" hidden="1" customHeight="1">
      <c r="A438" s="15"/>
      <c r="B438" s="15" t="str">
        <f>'Identificación y Evaluación'!$A$433</f>
        <v>Subcontratistas</v>
      </c>
      <c r="C438" s="15" t="str">
        <f>IF('Identificación y Evaluación'!H438="SI",'Identificación y Evaluación'!A438,"")</f>
        <v/>
      </c>
      <c r="D438" s="15">
        <f>'Identificación y Evaluación'!$G$475</f>
        <v>5</v>
      </c>
      <c r="E438" s="75"/>
      <c r="F438" s="76">
        <f t="shared" si="1"/>
        <v>0</v>
      </c>
    </row>
    <row r="439" ht="15.0" hidden="1" customHeight="1">
      <c r="A439" s="15"/>
      <c r="B439" s="15" t="str">
        <f>'Identificación y Evaluación'!$A$433</f>
        <v>Subcontratistas</v>
      </c>
      <c r="C439" s="15" t="str">
        <f>IF('Identificación y Evaluación'!H439="SI",'Identificación y Evaluación'!A439,"")</f>
        <v/>
      </c>
      <c r="D439" s="15">
        <f>'Identificación y Evaluación'!$G$475</f>
        <v>5</v>
      </c>
      <c r="E439" s="75"/>
      <c r="F439" s="76">
        <f t="shared" si="1"/>
        <v>0</v>
      </c>
    </row>
    <row r="440" ht="15.0" hidden="1" customHeight="1">
      <c r="A440" s="15"/>
      <c r="B440" s="15" t="str">
        <f>'Identificación y Evaluación'!$A$433</f>
        <v>Subcontratistas</v>
      </c>
      <c r="C440" s="15" t="str">
        <f>IF('Identificación y Evaluación'!H440="SI",'Identificación y Evaluación'!A440,"")</f>
        <v/>
      </c>
      <c r="D440" s="15">
        <f>'Identificación y Evaluación'!$G$475</f>
        <v>5</v>
      </c>
      <c r="E440" s="75"/>
      <c r="F440" s="76">
        <f t="shared" si="1"/>
        <v>0</v>
      </c>
    </row>
    <row r="441" ht="15.0" hidden="1" customHeight="1">
      <c r="A441" s="15"/>
      <c r="B441" s="15" t="str">
        <f>'Identificación y Evaluación'!$A$433</f>
        <v>Subcontratistas</v>
      </c>
      <c r="C441" s="15" t="str">
        <f>IF('Identificación y Evaluación'!H441="SI",'Identificación y Evaluación'!A441,"")</f>
        <v/>
      </c>
      <c r="D441" s="15">
        <f>'Identificación y Evaluación'!$G$475</f>
        <v>5</v>
      </c>
      <c r="E441" s="75"/>
      <c r="F441" s="76">
        <f t="shared" si="1"/>
        <v>0</v>
      </c>
    </row>
    <row r="442" ht="15.0" hidden="1" customHeight="1">
      <c r="A442" s="15"/>
      <c r="B442" s="15" t="str">
        <f>'Identificación y Evaluación'!$A$433</f>
        <v>Subcontratistas</v>
      </c>
      <c r="C442" s="15" t="str">
        <f>IF('Identificación y Evaluación'!H442="SI",'Identificación y Evaluación'!A442,"")</f>
        <v/>
      </c>
      <c r="D442" s="15">
        <f>'Identificación y Evaluación'!$G$475</f>
        <v>5</v>
      </c>
      <c r="E442" s="75"/>
      <c r="F442" s="76">
        <f t="shared" si="1"/>
        <v>0</v>
      </c>
    </row>
    <row r="443" ht="15.0" hidden="1" customHeight="1">
      <c r="A443" s="15"/>
      <c r="B443" s="15" t="str">
        <f>'Identificación y Evaluación'!$A$433</f>
        <v>Subcontratistas</v>
      </c>
      <c r="C443" s="15" t="str">
        <f>IF('Identificación y Evaluación'!H443="SI",'Identificación y Evaluación'!A443,"")</f>
        <v/>
      </c>
      <c r="D443" s="15">
        <f>'Identificación y Evaluación'!$G$475</f>
        <v>5</v>
      </c>
      <c r="E443" s="75"/>
      <c r="F443" s="76">
        <f t="shared" si="1"/>
        <v>0</v>
      </c>
    </row>
    <row r="444" ht="15.0" hidden="1" customHeight="1">
      <c r="A444" s="15"/>
      <c r="B444" s="15" t="str">
        <f>'Identificación y Evaluación'!$A$433</f>
        <v>Subcontratistas</v>
      </c>
      <c r="C444" s="15" t="str">
        <f>IF('Identificación y Evaluación'!H444="SI",'Identificación y Evaluación'!A444,"")</f>
        <v/>
      </c>
      <c r="D444" s="15">
        <f>'Identificación y Evaluación'!$G$475</f>
        <v>5</v>
      </c>
      <c r="E444" s="75"/>
      <c r="F444" s="76">
        <f t="shared" si="1"/>
        <v>0</v>
      </c>
    </row>
    <row r="445" ht="15.0" hidden="1" customHeight="1">
      <c r="A445" s="15"/>
      <c r="B445" s="15" t="str">
        <f>'Identificación y Evaluación'!$A$433</f>
        <v>Subcontratistas</v>
      </c>
      <c r="C445" s="15" t="str">
        <f>IF('Identificación y Evaluación'!H445="SI",'Identificación y Evaluación'!A445,"")</f>
        <v/>
      </c>
      <c r="D445" s="15">
        <f>'Identificación y Evaluación'!$G$475</f>
        <v>5</v>
      </c>
      <c r="E445" s="75"/>
      <c r="F445" s="76">
        <f t="shared" si="1"/>
        <v>0</v>
      </c>
    </row>
    <row r="446" ht="15.0" hidden="1" customHeight="1">
      <c r="A446" s="15"/>
      <c r="B446" s="15" t="str">
        <f>'Identificación y Evaluación'!$A$433</f>
        <v>Subcontratistas</v>
      </c>
      <c r="C446" s="15" t="str">
        <f>IF('Identificación y Evaluación'!H446="SI",'Identificación y Evaluación'!A446,"")</f>
        <v/>
      </c>
      <c r="D446" s="15">
        <f>'Identificación y Evaluación'!$G$475</f>
        <v>5</v>
      </c>
      <c r="E446" s="75"/>
      <c r="F446" s="76">
        <f t="shared" si="1"/>
        <v>0</v>
      </c>
    </row>
    <row r="447" ht="15.0" hidden="1" customHeight="1">
      <c r="A447" s="15"/>
      <c r="B447" s="15" t="str">
        <f>'Identificación y Evaluación'!$A$433</f>
        <v>Subcontratistas</v>
      </c>
      <c r="C447" s="15" t="str">
        <f>IF('Identificación y Evaluación'!H447="SI",'Identificación y Evaluación'!A447,"")</f>
        <v/>
      </c>
      <c r="D447" s="15">
        <f>'Identificación y Evaluación'!$G$475</f>
        <v>5</v>
      </c>
      <c r="E447" s="75"/>
      <c r="F447" s="76">
        <f t="shared" si="1"/>
        <v>0</v>
      </c>
    </row>
    <row r="448" ht="15.0" hidden="1" customHeight="1">
      <c r="A448" s="15"/>
      <c r="B448" s="15" t="str">
        <f>'Identificación y Evaluación'!$A$433</f>
        <v>Subcontratistas</v>
      </c>
      <c r="C448" s="15" t="str">
        <f>IF('Identificación y Evaluación'!H448="SI",'Identificación y Evaluación'!A448,"")</f>
        <v/>
      </c>
      <c r="D448" s="15">
        <f>'Identificación y Evaluación'!$G$475</f>
        <v>5</v>
      </c>
      <c r="E448" s="75"/>
      <c r="F448" s="76">
        <f t="shared" si="1"/>
        <v>0</v>
      </c>
    </row>
    <row r="449" ht="15.0" hidden="1" customHeight="1">
      <c r="A449" s="15"/>
      <c r="B449" s="15" t="str">
        <f>'Identificación y Evaluación'!$A$433</f>
        <v>Subcontratistas</v>
      </c>
      <c r="C449" s="15" t="str">
        <f>IF('Identificación y Evaluación'!H449="SI",'Identificación y Evaluación'!A449,"")</f>
        <v/>
      </c>
      <c r="D449" s="15">
        <f>'Identificación y Evaluación'!$G$475</f>
        <v>5</v>
      </c>
      <c r="E449" s="75"/>
      <c r="F449" s="76">
        <f t="shared" si="1"/>
        <v>0</v>
      </c>
    </row>
    <row r="450" ht="15.0" hidden="1" customHeight="1">
      <c r="A450" s="15"/>
      <c r="B450" s="15" t="str">
        <f>'Identificación y Evaluación'!$A$433</f>
        <v>Subcontratistas</v>
      </c>
      <c r="C450" s="15" t="str">
        <f>IF('Identificación y Evaluación'!H450="SI",'Identificación y Evaluación'!A450,"")</f>
        <v/>
      </c>
      <c r="D450" s="15">
        <f>'Identificación y Evaluación'!$G$475</f>
        <v>5</v>
      </c>
      <c r="E450" s="75"/>
      <c r="F450" s="76">
        <f t="shared" si="1"/>
        <v>0</v>
      </c>
    </row>
    <row r="451" ht="15.0" hidden="1" customHeight="1">
      <c r="A451" s="15"/>
      <c r="B451" s="15" t="str">
        <f>'Identificación y Evaluación'!$A$433</f>
        <v>Subcontratistas</v>
      </c>
      <c r="C451" s="15" t="str">
        <f>IF('Identificación y Evaluación'!H451="SI",'Identificación y Evaluación'!A451,"")</f>
        <v/>
      </c>
      <c r="D451" s="15">
        <f>'Identificación y Evaluación'!$G$475</f>
        <v>5</v>
      </c>
      <c r="E451" s="75"/>
      <c r="F451" s="76">
        <f t="shared" si="1"/>
        <v>0</v>
      </c>
    </row>
    <row r="452" ht="15.0" hidden="1" customHeight="1">
      <c r="A452" s="15"/>
      <c r="B452" s="15" t="str">
        <f>'Identificación y Evaluación'!$A$433</f>
        <v>Subcontratistas</v>
      </c>
      <c r="C452" s="15" t="str">
        <f>IF('Identificación y Evaluación'!H452="SI",'Identificación y Evaluación'!A452,"")</f>
        <v/>
      </c>
      <c r="D452" s="15">
        <f>'Identificación y Evaluación'!$G$475</f>
        <v>5</v>
      </c>
      <c r="E452" s="75"/>
      <c r="F452" s="76">
        <f t="shared" si="1"/>
        <v>0</v>
      </c>
    </row>
    <row r="453" ht="15.0" hidden="1" customHeight="1">
      <c r="A453" s="15"/>
      <c r="B453" s="15" t="str">
        <f>'Identificación y Evaluación'!$A$433</f>
        <v>Subcontratistas</v>
      </c>
      <c r="C453" s="15" t="str">
        <f>IF('Identificación y Evaluación'!H453="SI",'Identificación y Evaluación'!A453,"")</f>
        <v/>
      </c>
      <c r="D453" s="15">
        <f>'Identificación y Evaluación'!$G$475</f>
        <v>5</v>
      </c>
      <c r="E453" s="75"/>
      <c r="F453" s="76">
        <f t="shared" si="1"/>
        <v>0</v>
      </c>
    </row>
    <row r="454" ht="15.0" hidden="1" customHeight="1">
      <c r="A454" s="15"/>
      <c r="B454" s="15" t="str">
        <f>'Identificación y Evaluación'!$A$433</f>
        <v>Subcontratistas</v>
      </c>
      <c r="C454" s="15" t="str">
        <f>IF('Identificación y Evaluación'!H454="SI",'Identificación y Evaluación'!A454,"")</f>
        <v/>
      </c>
      <c r="D454" s="15">
        <f>'Identificación y Evaluación'!$G$475</f>
        <v>5</v>
      </c>
      <c r="E454" s="75"/>
      <c r="F454" s="76">
        <f t="shared" si="1"/>
        <v>0</v>
      </c>
    </row>
    <row r="455" ht="15.0" hidden="1" customHeight="1">
      <c r="A455" s="15"/>
      <c r="B455" s="15" t="str">
        <f>'Identificación y Evaluación'!$A$433</f>
        <v>Subcontratistas</v>
      </c>
      <c r="C455" s="15" t="str">
        <f>IF('Identificación y Evaluación'!H455="SI",'Identificación y Evaluación'!A455,"")</f>
        <v/>
      </c>
      <c r="D455" s="15">
        <f>'Identificación y Evaluación'!$G$475</f>
        <v>5</v>
      </c>
      <c r="E455" s="75"/>
      <c r="F455" s="76">
        <f t="shared" si="1"/>
        <v>0</v>
      </c>
    </row>
    <row r="456" ht="15.0" hidden="1" customHeight="1">
      <c r="A456" s="15"/>
      <c r="B456" s="15" t="str">
        <f>'Identificación y Evaluación'!$A$433</f>
        <v>Subcontratistas</v>
      </c>
      <c r="C456" s="15" t="str">
        <f>IF('Identificación y Evaluación'!H456="SI",'Identificación y Evaluación'!A456,"")</f>
        <v/>
      </c>
      <c r="D456" s="15">
        <f>'Identificación y Evaluación'!$G$475</f>
        <v>5</v>
      </c>
      <c r="E456" s="75"/>
      <c r="F456" s="76">
        <f t="shared" si="1"/>
        <v>0</v>
      </c>
    </row>
    <row r="457" ht="15.0" hidden="1" customHeight="1">
      <c r="A457" s="15"/>
      <c r="B457" s="15" t="str">
        <f>'Identificación y Evaluación'!$A$433</f>
        <v>Subcontratistas</v>
      </c>
      <c r="C457" s="15" t="str">
        <f>IF('Identificación y Evaluación'!H457="SI",'Identificación y Evaluación'!A457,"")</f>
        <v/>
      </c>
      <c r="D457" s="15">
        <f>'Identificación y Evaluación'!$G$475</f>
        <v>5</v>
      </c>
      <c r="E457" s="75"/>
      <c r="F457" s="76">
        <f t="shared" si="1"/>
        <v>0</v>
      </c>
    </row>
    <row r="458" ht="15.0" hidden="1" customHeight="1">
      <c r="A458" s="15"/>
      <c r="B458" s="15" t="str">
        <f>'Identificación y Evaluación'!$A$433</f>
        <v>Subcontratistas</v>
      </c>
      <c r="C458" s="15" t="str">
        <f>IF('Identificación y Evaluación'!H458="SI",'Identificación y Evaluación'!A458,"")</f>
        <v/>
      </c>
      <c r="D458" s="15">
        <f>'Identificación y Evaluación'!$G$475</f>
        <v>5</v>
      </c>
      <c r="E458" s="75"/>
      <c r="F458" s="76">
        <f t="shared" si="1"/>
        <v>0</v>
      </c>
    </row>
    <row r="459" ht="15.0" hidden="1" customHeight="1">
      <c r="A459" s="15"/>
      <c r="B459" s="15" t="str">
        <f>'Identificación y Evaluación'!$A$433</f>
        <v>Subcontratistas</v>
      </c>
      <c r="C459" s="15" t="str">
        <f>IF('Identificación y Evaluación'!H459="SI",'Identificación y Evaluación'!A459,"")</f>
        <v/>
      </c>
      <c r="D459" s="15">
        <f>'Identificación y Evaluación'!$G$475</f>
        <v>5</v>
      </c>
      <c r="E459" s="75"/>
      <c r="F459" s="76">
        <f t="shared" si="1"/>
        <v>0</v>
      </c>
    </row>
    <row r="460" ht="15.0" hidden="1" customHeight="1">
      <c r="A460" s="15"/>
      <c r="B460" s="15" t="str">
        <f>'Identificación y Evaluación'!$A$433</f>
        <v>Subcontratistas</v>
      </c>
      <c r="C460" s="15" t="str">
        <f>IF('Identificación y Evaluación'!H460="SI",'Identificación y Evaluación'!A460,"")</f>
        <v/>
      </c>
      <c r="D460" s="15">
        <f>'Identificación y Evaluación'!$G$475</f>
        <v>5</v>
      </c>
      <c r="E460" s="75"/>
      <c r="F460" s="76">
        <f t="shared" si="1"/>
        <v>0</v>
      </c>
    </row>
    <row r="461" ht="15.0" hidden="1" customHeight="1">
      <c r="A461" s="15"/>
      <c r="B461" s="15" t="str">
        <f>'Identificación y Evaluación'!$A$433</f>
        <v>Subcontratistas</v>
      </c>
      <c r="C461" s="15" t="str">
        <f>IF('Identificación y Evaluación'!H461="SI",'Identificación y Evaluación'!A461,"")</f>
        <v/>
      </c>
      <c r="D461" s="15">
        <f>'Identificación y Evaluación'!$G$475</f>
        <v>5</v>
      </c>
      <c r="E461" s="75"/>
      <c r="F461" s="76">
        <f t="shared" si="1"/>
        <v>0</v>
      </c>
    </row>
    <row r="462" ht="15.0" hidden="1" customHeight="1">
      <c r="A462" s="15"/>
      <c r="B462" s="15" t="str">
        <f>'Identificación y Evaluación'!$A$433</f>
        <v>Subcontratistas</v>
      </c>
      <c r="C462" s="15" t="str">
        <f>IF('Identificación y Evaluación'!H462="SI",'Identificación y Evaluación'!A462,"")</f>
        <v/>
      </c>
      <c r="D462" s="15">
        <f>'Identificación y Evaluación'!$G$475</f>
        <v>5</v>
      </c>
      <c r="E462" s="75"/>
      <c r="F462" s="76">
        <f t="shared" si="1"/>
        <v>0</v>
      </c>
    </row>
    <row r="463" ht="15.0" hidden="1" customHeight="1">
      <c r="A463" s="15"/>
      <c r="B463" s="15" t="str">
        <f>'Identificación y Evaluación'!$A$433</f>
        <v>Subcontratistas</v>
      </c>
      <c r="C463" s="15" t="str">
        <f>IF('Identificación y Evaluación'!H463="SI",'Identificación y Evaluación'!A463,"")</f>
        <v/>
      </c>
      <c r="D463" s="15">
        <f>'Identificación y Evaluación'!$G$475</f>
        <v>5</v>
      </c>
      <c r="E463" s="75"/>
      <c r="F463" s="76">
        <f t="shared" si="1"/>
        <v>0</v>
      </c>
    </row>
    <row r="464" ht="15.0" hidden="1" customHeight="1">
      <c r="A464" s="15"/>
      <c r="B464" s="15" t="str">
        <f>'Identificación y Evaluación'!$A$433</f>
        <v>Subcontratistas</v>
      </c>
      <c r="C464" s="15" t="str">
        <f>IF('Identificación y Evaluación'!H464="SI",'Identificación y Evaluación'!A464,"")</f>
        <v/>
      </c>
      <c r="D464" s="15">
        <f>'Identificación y Evaluación'!$G$475</f>
        <v>5</v>
      </c>
      <c r="E464" s="75"/>
      <c r="F464" s="76">
        <f t="shared" si="1"/>
        <v>0</v>
      </c>
    </row>
    <row r="465" ht="15.0" hidden="1" customHeight="1">
      <c r="A465" s="15"/>
      <c r="B465" s="15" t="str">
        <f>'Identificación y Evaluación'!$A$433</f>
        <v>Subcontratistas</v>
      </c>
      <c r="C465" s="15" t="str">
        <f>IF('Identificación y Evaluación'!H465="SI",'Identificación y Evaluación'!A465,"")</f>
        <v/>
      </c>
      <c r="D465" s="15">
        <f>'Identificación y Evaluación'!$G$475</f>
        <v>5</v>
      </c>
      <c r="E465" s="75"/>
      <c r="F465" s="76">
        <f t="shared" si="1"/>
        <v>0</v>
      </c>
    </row>
    <row r="466" ht="15.0" hidden="1" customHeight="1">
      <c r="A466" s="15"/>
      <c r="B466" s="15" t="str">
        <f>'Identificación y Evaluación'!$A$433</f>
        <v>Subcontratistas</v>
      </c>
      <c r="C466" s="15" t="str">
        <f>IF('Identificación y Evaluación'!H466="SI",'Identificación y Evaluación'!A466,"")</f>
        <v/>
      </c>
      <c r="D466" s="15">
        <f>'Identificación y Evaluación'!$G$475</f>
        <v>5</v>
      </c>
      <c r="E466" s="75"/>
      <c r="F466" s="76">
        <f t="shared" si="1"/>
        <v>0</v>
      </c>
    </row>
    <row r="467" ht="15.0" hidden="1" customHeight="1">
      <c r="A467" s="15"/>
      <c r="B467" s="15" t="str">
        <f>'Identificación y Evaluación'!$A$433</f>
        <v>Subcontratistas</v>
      </c>
      <c r="C467" s="15" t="str">
        <f>IF('Identificación y Evaluación'!H467="SI",'Identificación y Evaluación'!A467,"")</f>
        <v/>
      </c>
      <c r="D467" s="15">
        <f>'Identificación y Evaluación'!$G$475</f>
        <v>5</v>
      </c>
      <c r="E467" s="75"/>
      <c r="F467" s="76">
        <f t="shared" si="1"/>
        <v>0</v>
      </c>
    </row>
    <row r="468" ht="15.0" hidden="1" customHeight="1">
      <c r="A468" s="15"/>
      <c r="B468" s="15" t="str">
        <f>'Identificación y Evaluación'!$A$433</f>
        <v>Subcontratistas</v>
      </c>
      <c r="C468" s="15" t="str">
        <f>IF('Identificación y Evaluación'!H468="SI",'Identificación y Evaluación'!A468,"")</f>
        <v/>
      </c>
      <c r="D468" s="15">
        <f>'Identificación y Evaluación'!$G$475</f>
        <v>5</v>
      </c>
      <c r="E468" s="75"/>
      <c r="F468" s="76">
        <f t="shared" si="1"/>
        <v>0</v>
      </c>
    </row>
    <row r="469" ht="15.0" hidden="1" customHeight="1">
      <c r="A469" s="15"/>
      <c r="B469" s="15" t="str">
        <f>'Identificación y Evaluación'!$A$433</f>
        <v>Subcontratistas</v>
      </c>
      <c r="C469" s="15" t="str">
        <f>IF('Identificación y Evaluación'!H469="SI",'Identificación y Evaluación'!A469,"")</f>
        <v/>
      </c>
      <c r="D469" s="15">
        <f>'Identificación y Evaluación'!$G$475</f>
        <v>5</v>
      </c>
      <c r="E469" s="75"/>
      <c r="F469" s="76">
        <f t="shared" si="1"/>
        <v>0</v>
      </c>
    </row>
    <row r="470" ht="15.0" hidden="1" customHeight="1">
      <c r="A470" s="15"/>
      <c r="B470" s="15" t="str">
        <f>'Identificación y Evaluación'!$A$433</f>
        <v>Subcontratistas</v>
      </c>
      <c r="C470" s="15" t="str">
        <f>IF('Identificación y Evaluación'!H470="SI",'Identificación y Evaluación'!A470,"")</f>
        <v/>
      </c>
      <c r="D470" s="15">
        <f>'Identificación y Evaluación'!$G$475</f>
        <v>5</v>
      </c>
      <c r="E470" s="75"/>
      <c r="F470" s="76">
        <f t="shared" si="1"/>
        <v>0</v>
      </c>
    </row>
    <row r="471" ht="15.0" hidden="1" customHeight="1">
      <c r="A471" s="15"/>
      <c r="B471" s="15" t="str">
        <f>'Identificación y Evaluación'!$A$433</f>
        <v>Subcontratistas</v>
      </c>
      <c r="C471" s="15" t="str">
        <f>IF('Identificación y Evaluación'!H471="SI",'Identificación y Evaluación'!A471,"")</f>
        <v/>
      </c>
      <c r="D471" s="15">
        <f>'Identificación y Evaluación'!$G$475</f>
        <v>5</v>
      </c>
      <c r="E471" s="75"/>
      <c r="F471" s="76">
        <f t="shared" si="1"/>
        <v>0</v>
      </c>
    </row>
    <row r="472" ht="15.0" hidden="1" customHeight="1">
      <c r="A472" s="15"/>
      <c r="B472" s="15" t="str">
        <f>'Identificación y Evaluación'!$A$433</f>
        <v>Subcontratistas</v>
      </c>
      <c r="C472" s="15" t="str">
        <f>IF('Identificación y Evaluación'!H472="SI",'Identificación y Evaluación'!A472,"")</f>
        <v/>
      </c>
      <c r="D472" s="15">
        <f>'Identificación y Evaluación'!$G$475</f>
        <v>5</v>
      </c>
      <c r="E472" s="75"/>
      <c r="F472" s="76">
        <f t="shared" si="1"/>
        <v>0</v>
      </c>
    </row>
    <row r="473" ht="15.0" hidden="1" customHeight="1">
      <c r="A473" s="15"/>
      <c r="B473" s="15" t="str">
        <f>'Identificación y Evaluación'!$A$433</f>
        <v>Subcontratistas</v>
      </c>
      <c r="C473" s="15" t="str">
        <f>IF('Identificación y Evaluación'!H473="SI",'Identificación y Evaluación'!A473,"")</f>
        <v/>
      </c>
      <c r="D473" s="15">
        <f>'Identificación y Evaluación'!$G$475</f>
        <v>5</v>
      </c>
      <c r="E473" s="75"/>
      <c r="F473" s="76">
        <f t="shared" si="1"/>
        <v>0</v>
      </c>
    </row>
    <row r="474" ht="15.0" hidden="1" customHeight="1">
      <c r="A474" s="15"/>
      <c r="B474" s="15" t="str">
        <f>'Identificación y Evaluación'!$A$433</f>
        <v>Subcontratistas</v>
      </c>
      <c r="C474" s="15" t="str">
        <f>IF('Identificación y Evaluación'!H474="SI",'Identificación y Evaluación'!A474,"")</f>
        <v/>
      </c>
      <c r="D474" s="15">
        <f>'Identificación y Evaluación'!$G$475</f>
        <v>5</v>
      </c>
      <c r="E474" s="75"/>
      <c r="F474" s="76">
        <f t="shared" si="1"/>
        <v>0</v>
      </c>
    </row>
    <row r="475" ht="15.0" hidden="1" customHeight="1">
      <c r="A475" s="15"/>
      <c r="B475" s="15" t="str">
        <f>'Identificación y Evaluación'!$A$433</f>
        <v>Subcontratistas</v>
      </c>
      <c r="C475" s="15" t="str">
        <f>IF('Identificación y Evaluación'!H475="SI",'Identificación y Evaluación'!A475,"")</f>
        <v/>
      </c>
      <c r="D475" s="15">
        <f>'Identificación y Evaluación'!$G$475</f>
        <v>5</v>
      </c>
      <c r="E475" s="75"/>
      <c r="F475" s="76">
        <f t="shared" si="1"/>
        <v>0</v>
      </c>
    </row>
    <row r="476" ht="15.0" hidden="1" customHeight="1">
      <c r="A476" s="15"/>
      <c r="B476" s="15" t="str">
        <f>'Identificación y Evaluación'!$A$433</f>
        <v>Subcontratistas</v>
      </c>
      <c r="C476" s="15" t="str">
        <f>IF('Identificación y Evaluación'!H476="SI",'Identificación y Evaluación'!A476,"")</f>
        <v/>
      </c>
      <c r="D476" s="15">
        <f>'Identificación y Evaluación'!$G$475</f>
        <v>5</v>
      </c>
      <c r="E476" s="75"/>
      <c r="F476" s="76">
        <f t="shared" si="1"/>
        <v>0</v>
      </c>
    </row>
    <row r="477" ht="15.0" hidden="1" customHeight="1">
      <c r="A477" s="15"/>
      <c r="B477" s="15" t="str">
        <f>'Identificación y Evaluación'!$A$433</f>
        <v>Subcontratistas</v>
      </c>
      <c r="C477" s="15" t="str">
        <f>IF('Identificación y Evaluación'!H477="SI",'Identificación y Evaluación'!A477,"")</f>
        <v/>
      </c>
      <c r="D477" s="15">
        <f>'Identificación y Evaluación'!$G$475</f>
        <v>5</v>
      </c>
      <c r="E477" s="75"/>
      <c r="F477" s="76">
        <f t="shared" si="1"/>
        <v>0</v>
      </c>
    </row>
    <row r="478" ht="15.0" hidden="1" customHeight="1">
      <c r="A478" s="15"/>
      <c r="B478" s="15" t="str">
        <f>'Identificación y Evaluación'!$A$433</f>
        <v>Subcontratistas</v>
      </c>
      <c r="C478" s="15" t="str">
        <f>IF('Identificación y Evaluación'!H478="SI",'Identificación y Evaluación'!A478,"")</f>
        <v/>
      </c>
      <c r="D478" s="15">
        <f>'Identificación y Evaluación'!$G$475</f>
        <v>5</v>
      </c>
      <c r="E478" s="75"/>
      <c r="F478" s="76">
        <f t="shared" si="1"/>
        <v>0</v>
      </c>
    </row>
    <row r="479" ht="15.0" hidden="1" customHeight="1">
      <c r="A479" s="15"/>
      <c r="B479" s="15" t="str">
        <f>'Identificación y Evaluación'!$A$433</f>
        <v>Subcontratistas</v>
      </c>
      <c r="C479" s="15" t="str">
        <f>IF('Identificación y Evaluación'!H479="SI",'Identificación y Evaluación'!A479,"")</f>
        <v/>
      </c>
      <c r="D479" s="15">
        <f>'Identificación y Evaluación'!$G$475</f>
        <v>5</v>
      </c>
      <c r="E479" s="75"/>
      <c r="F479" s="76">
        <f t="shared" si="1"/>
        <v>0</v>
      </c>
    </row>
    <row r="480" ht="15.0" hidden="1" customHeight="1">
      <c r="A480" s="15"/>
      <c r="B480" s="15" t="str">
        <f>'Identificación y Evaluación'!$A$433</f>
        <v>Subcontratistas</v>
      </c>
      <c r="C480" s="15" t="str">
        <f>IF('Identificación y Evaluación'!H480="SI",'Identificación y Evaluación'!A480,"")</f>
        <v/>
      </c>
      <c r="D480" s="15">
        <f>'Identificación y Evaluación'!$G$475</f>
        <v>5</v>
      </c>
      <c r="E480" s="75"/>
      <c r="F480" s="76">
        <f t="shared" si="1"/>
        <v>0</v>
      </c>
    </row>
    <row r="481" ht="15.75" customHeight="1">
      <c r="A481" s="8"/>
      <c r="D481" s="8"/>
      <c r="E481" s="78"/>
      <c r="F481" s="79"/>
    </row>
    <row r="482" ht="15.75" customHeight="1">
      <c r="A482" s="8"/>
      <c r="D482" s="8"/>
      <c r="E482" s="78"/>
      <c r="F482" s="79"/>
    </row>
    <row r="483" ht="15.75" customHeight="1">
      <c r="A483" s="8"/>
      <c r="D483" s="8"/>
      <c r="E483" s="78"/>
      <c r="F483" s="79"/>
    </row>
    <row r="484" ht="15.75" customHeight="1">
      <c r="A484" s="8"/>
      <c r="D484" s="8"/>
      <c r="E484" s="78"/>
      <c r="F484" s="79"/>
    </row>
    <row r="485" ht="15.75" customHeight="1">
      <c r="A485" s="8"/>
      <c r="D485" s="8"/>
      <c r="E485" s="78"/>
      <c r="F485" s="79"/>
    </row>
    <row r="486" ht="15.75" customHeight="1">
      <c r="A486" s="8"/>
      <c r="D486" s="8"/>
      <c r="E486" s="78"/>
      <c r="F486" s="79"/>
    </row>
    <row r="487" ht="15.75" customHeight="1">
      <c r="A487" s="8"/>
      <c r="D487" s="8"/>
      <c r="E487" s="78"/>
      <c r="F487" s="79"/>
    </row>
    <row r="488" ht="15.75" customHeight="1">
      <c r="A488" s="8"/>
      <c r="D488" s="8"/>
      <c r="E488" s="78"/>
      <c r="F488" s="79"/>
    </row>
    <row r="489" ht="15.75" customHeight="1">
      <c r="A489" s="8"/>
      <c r="D489" s="8"/>
      <c r="E489" s="78"/>
      <c r="F489" s="79"/>
    </row>
    <row r="490" ht="15.75" customHeight="1">
      <c r="A490" s="8"/>
      <c r="D490" s="8"/>
      <c r="E490" s="78"/>
      <c r="F490" s="79"/>
    </row>
    <row r="491" ht="15.75" customHeight="1">
      <c r="A491" s="8"/>
      <c r="D491" s="8"/>
      <c r="E491" s="78"/>
      <c r="F491" s="79"/>
    </row>
    <row r="492" ht="15.75" customHeight="1">
      <c r="A492" s="8"/>
      <c r="D492" s="8"/>
      <c r="E492" s="78"/>
      <c r="F492" s="79"/>
    </row>
    <row r="493" ht="15.75" customHeight="1">
      <c r="A493" s="8"/>
      <c r="D493" s="8"/>
      <c r="E493" s="78"/>
      <c r="F493" s="79"/>
    </row>
    <row r="494" ht="15.75" customHeight="1">
      <c r="A494" s="8"/>
      <c r="D494" s="8"/>
      <c r="E494" s="78"/>
      <c r="F494" s="79"/>
    </row>
    <row r="495" ht="15.75" customHeight="1">
      <c r="A495" s="8"/>
      <c r="D495" s="8"/>
      <c r="E495" s="78"/>
      <c r="F495" s="79"/>
    </row>
    <row r="496" ht="15.75" customHeight="1">
      <c r="A496" s="8"/>
      <c r="D496" s="8"/>
      <c r="E496" s="78"/>
      <c r="F496" s="79"/>
    </row>
    <row r="497" ht="15.75" customHeight="1">
      <c r="A497" s="8"/>
      <c r="D497" s="8"/>
      <c r="E497" s="78"/>
      <c r="F497" s="79"/>
    </row>
    <row r="498" ht="15.75" customHeight="1">
      <c r="A498" s="8"/>
      <c r="D498" s="8"/>
      <c r="E498" s="78"/>
      <c r="F498" s="79"/>
    </row>
    <row r="499" ht="15.75" customHeight="1">
      <c r="A499" s="8"/>
      <c r="D499" s="8"/>
      <c r="E499" s="78"/>
      <c r="F499" s="79"/>
    </row>
    <row r="500" ht="15.75" customHeight="1">
      <c r="A500" s="8"/>
      <c r="D500" s="8"/>
      <c r="E500" s="78"/>
      <c r="F500" s="79"/>
    </row>
    <row r="501" ht="15.75" customHeight="1">
      <c r="A501" s="8"/>
      <c r="D501" s="8"/>
      <c r="E501" s="78"/>
      <c r="F501" s="79"/>
    </row>
    <row r="502" ht="15.75" customHeight="1">
      <c r="A502" s="8"/>
      <c r="D502" s="8"/>
      <c r="E502" s="78"/>
      <c r="F502" s="79"/>
    </row>
    <row r="503" ht="15.75" customHeight="1">
      <c r="A503" s="8"/>
      <c r="D503" s="8"/>
      <c r="E503" s="78"/>
      <c r="F503" s="79"/>
    </row>
    <row r="504" ht="15.75" customHeight="1">
      <c r="A504" s="8"/>
      <c r="D504" s="8"/>
      <c r="E504" s="78"/>
      <c r="F504" s="79"/>
    </row>
    <row r="505" ht="15.75" customHeight="1">
      <c r="A505" s="8"/>
      <c r="D505" s="8"/>
      <c r="E505" s="78"/>
      <c r="F505" s="79"/>
    </row>
    <row r="506" ht="15.75" customHeight="1">
      <c r="A506" s="8"/>
      <c r="D506" s="8"/>
      <c r="E506" s="78"/>
      <c r="F506" s="79"/>
    </row>
    <row r="507" ht="15.75" customHeight="1">
      <c r="A507" s="8"/>
      <c r="D507" s="8"/>
      <c r="E507" s="78"/>
      <c r="F507" s="79"/>
    </row>
    <row r="508" ht="15.75" customHeight="1">
      <c r="A508" s="8"/>
      <c r="D508" s="8"/>
      <c r="E508" s="78"/>
      <c r="F508" s="79"/>
    </row>
    <row r="509" ht="15.75" customHeight="1">
      <c r="A509" s="8"/>
      <c r="D509" s="8"/>
      <c r="E509" s="78"/>
      <c r="F509" s="79"/>
    </row>
    <row r="510" ht="15.75" customHeight="1">
      <c r="A510" s="8"/>
      <c r="D510" s="8"/>
      <c r="E510" s="78"/>
      <c r="F510" s="79"/>
    </row>
    <row r="511" ht="15.75" customHeight="1">
      <c r="A511" s="8"/>
      <c r="D511" s="8"/>
      <c r="E511" s="78"/>
      <c r="F511" s="79"/>
    </row>
    <row r="512" ht="15.75" customHeight="1">
      <c r="A512" s="8"/>
      <c r="D512" s="8"/>
      <c r="E512" s="78"/>
      <c r="F512" s="79"/>
    </row>
    <row r="513" ht="15.75" customHeight="1">
      <c r="A513" s="8"/>
      <c r="D513" s="8"/>
      <c r="E513" s="78"/>
      <c r="F513" s="79"/>
    </row>
    <row r="514" ht="15.75" customHeight="1">
      <c r="A514" s="8"/>
      <c r="D514" s="8"/>
      <c r="E514" s="78"/>
      <c r="F514" s="79"/>
    </row>
    <row r="515" ht="15.75" customHeight="1">
      <c r="A515" s="8"/>
      <c r="D515" s="8"/>
      <c r="E515" s="78"/>
      <c r="F515" s="79"/>
    </row>
    <row r="516" ht="15.75" customHeight="1">
      <c r="A516" s="8"/>
      <c r="D516" s="8"/>
      <c r="E516" s="78"/>
      <c r="F516" s="79"/>
    </row>
    <row r="517" ht="15.75" customHeight="1">
      <c r="A517" s="8"/>
      <c r="D517" s="8"/>
      <c r="E517" s="78"/>
      <c r="F517" s="79"/>
    </row>
    <row r="518" ht="15.75" customHeight="1">
      <c r="A518" s="8"/>
      <c r="D518" s="8"/>
      <c r="E518" s="78"/>
      <c r="F518" s="79"/>
    </row>
    <row r="519" ht="15.75" customHeight="1">
      <c r="A519" s="8"/>
      <c r="D519" s="8"/>
      <c r="E519" s="78"/>
      <c r="F519" s="79"/>
    </row>
    <row r="520" ht="15.75" customHeight="1">
      <c r="A520" s="8"/>
      <c r="D520" s="8"/>
      <c r="E520" s="78"/>
      <c r="F520" s="79"/>
    </row>
    <row r="521" ht="15.75" customHeight="1">
      <c r="A521" s="8"/>
      <c r="D521" s="8"/>
      <c r="E521" s="78"/>
      <c r="F521" s="79"/>
    </row>
    <row r="522" ht="15.75" customHeight="1">
      <c r="A522" s="8"/>
      <c r="D522" s="8"/>
      <c r="E522" s="78"/>
      <c r="F522" s="79"/>
    </row>
    <row r="523" ht="15.75" customHeight="1">
      <c r="A523" s="8"/>
      <c r="D523" s="8"/>
      <c r="E523" s="78"/>
      <c r="F523" s="79"/>
    </row>
    <row r="524" ht="15.75" customHeight="1">
      <c r="A524" s="8"/>
      <c r="D524" s="8"/>
      <c r="E524" s="78"/>
      <c r="F524" s="79"/>
    </row>
    <row r="525" ht="15.75" customHeight="1">
      <c r="A525" s="8"/>
      <c r="D525" s="8"/>
      <c r="E525" s="78"/>
      <c r="F525" s="79"/>
    </row>
    <row r="526" ht="15.75" customHeight="1">
      <c r="A526" s="8"/>
      <c r="D526" s="8"/>
      <c r="E526" s="78"/>
      <c r="F526" s="79"/>
    </row>
    <row r="527" ht="15.75" customHeight="1">
      <c r="A527" s="8"/>
      <c r="D527" s="8"/>
      <c r="E527" s="78"/>
      <c r="F527" s="79"/>
    </row>
    <row r="528" ht="15.75" customHeight="1">
      <c r="A528" s="8"/>
      <c r="D528" s="8"/>
      <c r="E528" s="78"/>
      <c r="F528" s="79"/>
    </row>
    <row r="529" ht="15.75" customHeight="1">
      <c r="A529" s="8"/>
      <c r="D529" s="8"/>
      <c r="E529" s="78"/>
      <c r="F529" s="79"/>
    </row>
    <row r="530" ht="15.75" customHeight="1">
      <c r="A530" s="8"/>
      <c r="D530" s="8"/>
      <c r="E530" s="78"/>
      <c r="F530" s="79"/>
    </row>
    <row r="531" ht="15.75" customHeight="1">
      <c r="A531" s="8"/>
      <c r="D531" s="8"/>
      <c r="E531" s="78"/>
      <c r="F531" s="79"/>
    </row>
    <row r="532" ht="15.75" customHeight="1">
      <c r="A532" s="8"/>
      <c r="D532" s="8"/>
      <c r="E532" s="78"/>
      <c r="F532" s="79"/>
    </row>
    <row r="533" ht="15.75" customHeight="1">
      <c r="A533" s="8"/>
      <c r="D533" s="8"/>
      <c r="E533" s="78"/>
      <c r="F533" s="79"/>
    </row>
    <row r="534" ht="15.75" customHeight="1">
      <c r="A534" s="8"/>
      <c r="D534" s="8"/>
      <c r="E534" s="78"/>
      <c r="F534" s="79"/>
    </row>
    <row r="535" ht="15.75" customHeight="1">
      <c r="A535" s="8"/>
      <c r="D535" s="8"/>
      <c r="E535" s="78"/>
      <c r="F535" s="79"/>
    </row>
    <row r="536" ht="15.75" customHeight="1">
      <c r="A536" s="8"/>
      <c r="D536" s="8"/>
      <c r="E536" s="78"/>
      <c r="F536" s="79"/>
    </row>
    <row r="537" ht="15.75" customHeight="1">
      <c r="A537" s="8"/>
      <c r="D537" s="8"/>
      <c r="E537" s="78"/>
      <c r="F537" s="79"/>
    </row>
    <row r="538" ht="15.75" customHeight="1">
      <c r="A538" s="8"/>
      <c r="D538" s="8"/>
      <c r="E538" s="78"/>
      <c r="F538" s="79"/>
    </row>
    <row r="539" ht="15.75" customHeight="1">
      <c r="A539" s="8"/>
      <c r="D539" s="8"/>
      <c r="E539" s="78"/>
      <c r="F539" s="79"/>
    </row>
    <row r="540" ht="15.75" customHeight="1">
      <c r="A540" s="8"/>
      <c r="D540" s="8"/>
      <c r="E540" s="78"/>
      <c r="F540" s="79"/>
    </row>
    <row r="541" ht="15.75" customHeight="1">
      <c r="A541" s="8"/>
      <c r="D541" s="8"/>
      <c r="E541" s="78"/>
      <c r="F541" s="79"/>
    </row>
    <row r="542" ht="15.75" customHeight="1">
      <c r="A542" s="8"/>
      <c r="D542" s="8"/>
      <c r="E542" s="78"/>
      <c r="F542" s="79"/>
    </row>
    <row r="543" ht="15.75" customHeight="1">
      <c r="A543" s="8"/>
      <c r="D543" s="8"/>
      <c r="E543" s="78"/>
      <c r="F543" s="79"/>
    </row>
    <row r="544" ht="15.75" customHeight="1">
      <c r="A544" s="8"/>
      <c r="D544" s="8"/>
      <c r="E544" s="78"/>
      <c r="F544" s="79"/>
    </row>
    <row r="545" ht="15.75" customHeight="1">
      <c r="A545" s="8"/>
      <c r="D545" s="8"/>
      <c r="E545" s="78"/>
      <c r="F545" s="79"/>
    </row>
    <row r="546" ht="15.75" customHeight="1">
      <c r="A546" s="8"/>
      <c r="D546" s="8"/>
      <c r="E546" s="78"/>
      <c r="F546" s="79"/>
    </row>
    <row r="547" ht="15.75" customHeight="1">
      <c r="A547" s="8"/>
      <c r="D547" s="8"/>
      <c r="E547" s="78"/>
      <c r="F547" s="79"/>
    </row>
    <row r="548" ht="15.75" customHeight="1">
      <c r="A548" s="8"/>
      <c r="D548" s="8"/>
      <c r="E548" s="78"/>
      <c r="F548" s="79"/>
    </row>
    <row r="549" ht="15.75" customHeight="1">
      <c r="A549" s="8"/>
      <c r="D549" s="8"/>
      <c r="E549" s="78"/>
      <c r="F549" s="79"/>
    </row>
    <row r="550" ht="15.75" customHeight="1">
      <c r="A550" s="8"/>
      <c r="D550" s="8"/>
      <c r="E550" s="78"/>
      <c r="F550" s="79"/>
    </row>
    <row r="551" ht="15.75" customHeight="1">
      <c r="A551" s="8"/>
      <c r="D551" s="8"/>
      <c r="E551" s="78"/>
      <c r="F551" s="79"/>
    </row>
    <row r="552" ht="15.75" customHeight="1">
      <c r="A552" s="8"/>
      <c r="D552" s="8"/>
      <c r="E552" s="78"/>
      <c r="F552" s="79"/>
    </row>
    <row r="553" ht="15.75" customHeight="1">
      <c r="A553" s="8"/>
      <c r="D553" s="8"/>
      <c r="E553" s="78"/>
      <c r="F553" s="79"/>
    </row>
    <row r="554" ht="15.75" customHeight="1">
      <c r="A554" s="8"/>
      <c r="D554" s="8"/>
      <c r="E554" s="78"/>
      <c r="F554" s="79"/>
    </row>
    <row r="555" ht="15.75" customHeight="1">
      <c r="A555" s="8"/>
      <c r="D555" s="8"/>
      <c r="E555" s="78"/>
      <c r="F555" s="79"/>
    </row>
    <row r="556" ht="15.75" customHeight="1">
      <c r="A556" s="8"/>
      <c r="D556" s="8"/>
      <c r="E556" s="78"/>
      <c r="F556" s="79"/>
    </row>
    <row r="557" ht="15.75" customHeight="1">
      <c r="A557" s="8"/>
      <c r="D557" s="8"/>
      <c r="E557" s="78"/>
      <c r="F557" s="79"/>
    </row>
    <row r="558" ht="15.75" customHeight="1">
      <c r="A558" s="8"/>
      <c r="D558" s="8"/>
      <c r="E558" s="78"/>
      <c r="F558" s="79"/>
    </row>
    <row r="559" ht="15.75" customHeight="1">
      <c r="A559" s="8"/>
      <c r="D559" s="8"/>
      <c r="E559" s="78"/>
      <c r="F559" s="79"/>
    </row>
    <row r="560" ht="15.75" customHeight="1">
      <c r="A560" s="8"/>
      <c r="D560" s="8"/>
      <c r="E560" s="78"/>
      <c r="F560" s="79"/>
    </row>
    <row r="561" ht="15.75" customHeight="1">
      <c r="A561" s="8"/>
      <c r="D561" s="8"/>
      <c r="E561" s="78"/>
      <c r="F561" s="79"/>
    </row>
    <row r="562" ht="15.75" customHeight="1">
      <c r="A562" s="8"/>
      <c r="D562" s="8"/>
      <c r="E562" s="78"/>
      <c r="F562" s="79"/>
    </row>
    <row r="563" ht="15.75" customHeight="1">
      <c r="A563" s="8"/>
      <c r="D563" s="8"/>
      <c r="E563" s="78"/>
      <c r="F563" s="79"/>
    </row>
    <row r="564" ht="15.75" customHeight="1">
      <c r="A564" s="8"/>
      <c r="D564" s="8"/>
      <c r="E564" s="78"/>
      <c r="F564" s="79"/>
    </row>
    <row r="565" ht="15.75" customHeight="1">
      <c r="A565" s="8"/>
      <c r="D565" s="8"/>
      <c r="E565" s="78"/>
      <c r="F565" s="79"/>
    </row>
    <row r="566" ht="15.75" customHeight="1">
      <c r="A566" s="8"/>
      <c r="D566" s="8"/>
      <c r="E566" s="78"/>
      <c r="F566" s="79"/>
    </row>
    <row r="567" ht="15.75" customHeight="1">
      <c r="A567" s="8"/>
      <c r="D567" s="8"/>
      <c r="E567" s="78"/>
      <c r="F567" s="79"/>
    </row>
    <row r="568" ht="15.75" customHeight="1">
      <c r="A568" s="8"/>
      <c r="D568" s="8"/>
      <c r="E568" s="78"/>
      <c r="F568" s="79"/>
    </row>
    <row r="569" ht="15.75" customHeight="1">
      <c r="A569" s="8"/>
      <c r="D569" s="8"/>
      <c r="E569" s="78"/>
      <c r="F569" s="79"/>
    </row>
    <row r="570" ht="15.75" customHeight="1">
      <c r="A570" s="8"/>
      <c r="D570" s="8"/>
      <c r="E570" s="78"/>
      <c r="F570" s="79"/>
    </row>
    <row r="571" ht="15.75" customHeight="1">
      <c r="A571" s="8"/>
      <c r="D571" s="8"/>
      <c r="E571" s="78"/>
      <c r="F571" s="79"/>
    </row>
    <row r="572" ht="15.75" customHeight="1">
      <c r="A572" s="8"/>
      <c r="D572" s="8"/>
      <c r="E572" s="78"/>
      <c r="F572" s="79"/>
    </row>
    <row r="573" ht="15.75" customHeight="1">
      <c r="A573" s="8"/>
      <c r="D573" s="8"/>
      <c r="E573" s="78"/>
      <c r="F573" s="79"/>
    </row>
    <row r="574" ht="15.75" customHeight="1">
      <c r="A574" s="8"/>
      <c r="D574" s="8"/>
      <c r="E574" s="78"/>
      <c r="F574" s="79"/>
    </row>
    <row r="575" ht="15.75" customHeight="1">
      <c r="A575" s="8"/>
      <c r="D575" s="8"/>
      <c r="E575" s="78"/>
      <c r="F575" s="79"/>
    </row>
    <row r="576" ht="15.75" customHeight="1">
      <c r="A576" s="8"/>
      <c r="D576" s="8"/>
      <c r="E576" s="78"/>
      <c r="F576" s="79"/>
    </row>
    <row r="577" ht="15.75" customHeight="1">
      <c r="A577" s="8"/>
      <c r="D577" s="8"/>
      <c r="E577" s="78"/>
      <c r="F577" s="79"/>
    </row>
    <row r="578" ht="15.75" customHeight="1">
      <c r="A578" s="8"/>
      <c r="D578" s="8"/>
      <c r="E578" s="78"/>
      <c r="F578" s="79"/>
    </row>
    <row r="579" ht="15.75" customHeight="1">
      <c r="A579" s="8"/>
      <c r="D579" s="8"/>
      <c r="E579" s="78"/>
      <c r="F579" s="79"/>
    </row>
    <row r="580" ht="15.75" customHeight="1">
      <c r="A580" s="8"/>
      <c r="D580" s="8"/>
      <c r="E580" s="78"/>
      <c r="F580" s="79"/>
    </row>
    <row r="581" ht="15.75" customHeight="1">
      <c r="A581" s="8"/>
      <c r="D581" s="8"/>
      <c r="E581" s="78"/>
      <c r="F581" s="79"/>
    </row>
    <row r="582" ht="15.75" customHeight="1">
      <c r="A582" s="8"/>
      <c r="D582" s="8"/>
      <c r="E582" s="78"/>
      <c r="F582" s="79"/>
    </row>
    <row r="583" ht="15.75" customHeight="1">
      <c r="A583" s="8"/>
      <c r="D583" s="8"/>
      <c r="E583" s="78"/>
      <c r="F583" s="79"/>
    </row>
    <row r="584" ht="15.75" customHeight="1">
      <c r="A584" s="8"/>
      <c r="D584" s="8"/>
      <c r="E584" s="78"/>
      <c r="F584" s="79"/>
    </row>
    <row r="585" ht="15.75" customHeight="1">
      <c r="A585" s="8"/>
      <c r="D585" s="8"/>
      <c r="E585" s="78"/>
      <c r="F585" s="79"/>
    </row>
    <row r="586" ht="15.75" customHeight="1">
      <c r="A586" s="8"/>
      <c r="D586" s="8"/>
      <c r="E586" s="78"/>
      <c r="F586" s="79"/>
    </row>
    <row r="587" ht="15.75" customHeight="1">
      <c r="A587" s="8"/>
      <c r="D587" s="8"/>
      <c r="E587" s="78"/>
      <c r="F587" s="79"/>
    </row>
    <row r="588" ht="15.75" customHeight="1">
      <c r="A588" s="8"/>
      <c r="D588" s="8"/>
      <c r="E588" s="78"/>
      <c r="F588" s="79"/>
    </row>
    <row r="589" ht="15.75" customHeight="1">
      <c r="A589" s="8"/>
      <c r="D589" s="8"/>
      <c r="E589" s="78"/>
      <c r="F589" s="79"/>
    </row>
    <row r="590" ht="15.75" customHeight="1">
      <c r="A590" s="8"/>
      <c r="D590" s="8"/>
      <c r="E590" s="78"/>
      <c r="F590" s="79"/>
    </row>
    <row r="591" ht="15.75" customHeight="1">
      <c r="A591" s="8"/>
      <c r="D591" s="8"/>
      <c r="E591" s="78"/>
      <c r="F591" s="79"/>
    </row>
    <row r="592" ht="15.75" customHeight="1">
      <c r="A592" s="8"/>
      <c r="D592" s="8"/>
      <c r="E592" s="78"/>
      <c r="F592" s="79"/>
    </row>
    <row r="593" ht="15.75" customHeight="1">
      <c r="A593" s="8"/>
      <c r="D593" s="8"/>
      <c r="E593" s="78"/>
      <c r="F593" s="79"/>
    </row>
    <row r="594" ht="15.75" customHeight="1">
      <c r="A594" s="8"/>
      <c r="D594" s="8"/>
      <c r="E594" s="78"/>
      <c r="F594" s="79"/>
    </row>
    <row r="595" ht="15.75" customHeight="1">
      <c r="A595" s="8"/>
      <c r="D595" s="8"/>
      <c r="E595" s="78"/>
      <c r="F595" s="79"/>
    </row>
    <row r="596" ht="15.75" customHeight="1">
      <c r="A596" s="8"/>
      <c r="D596" s="8"/>
      <c r="E596" s="78"/>
      <c r="F596" s="79"/>
    </row>
    <row r="597" ht="15.75" customHeight="1">
      <c r="A597" s="8"/>
      <c r="D597" s="8"/>
      <c r="E597" s="78"/>
      <c r="F597" s="79"/>
    </row>
    <row r="598" ht="15.75" customHeight="1">
      <c r="A598" s="8"/>
      <c r="D598" s="8"/>
      <c r="E598" s="78"/>
      <c r="F598" s="79"/>
    </row>
    <row r="599" ht="15.75" customHeight="1">
      <c r="A599" s="8"/>
      <c r="D599" s="8"/>
      <c r="E599" s="78"/>
      <c r="F599" s="79"/>
    </row>
    <row r="600" ht="15.75" customHeight="1">
      <c r="A600" s="8"/>
      <c r="D600" s="8"/>
      <c r="E600" s="78"/>
      <c r="F600" s="79"/>
    </row>
    <row r="601" ht="15.75" customHeight="1">
      <c r="A601" s="8"/>
      <c r="D601" s="8"/>
      <c r="E601" s="78"/>
      <c r="F601" s="79"/>
    </row>
    <row r="602" ht="15.75" customHeight="1">
      <c r="A602" s="8"/>
      <c r="D602" s="8"/>
      <c r="E602" s="78"/>
      <c r="F602" s="79"/>
    </row>
    <row r="603" ht="15.75" customHeight="1">
      <c r="A603" s="8"/>
      <c r="D603" s="8"/>
      <c r="E603" s="78"/>
      <c r="F603" s="79"/>
    </row>
    <row r="604" ht="15.75" customHeight="1">
      <c r="A604" s="8"/>
      <c r="D604" s="8"/>
      <c r="E604" s="78"/>
      <c r="F604" s="79"/>
    </row>
    <row r="605" ht="15.75" customHeight="1">
      <c r="A605" s="8"/>
      <c r="D605" s="8"/>
      <c r="E605" s="78"/>
      <c r="F605" s="79"/>
    </row>
    <row r="606" ht="15.75" customHeight="1">
      <c r="A606" s="8"/>
      <c r="D606" s="8"/>
      <c r="E606" s="78"/>
      <c r="F606" s="79"/>
    </row>
    <row r="607" ht="15.75" customHeight="1">
      <c r="A607" s="8"/>
      <c r="D607" s="8"/>
      <c r="E607" s="78"/>
      <c r="F607" s="79"/>
    </row>
    <row r="608" ht="15.75" customHeight="1">
      <c r="A608" s="8"/>
      <c r="D608" s="8"/>
      <c r="E608" s="78"/>
      <c r="F608" s="79"/>
    </row>
    <row r="609" ht="15.75" customHeight="1">
      <c r="A609" s="8"/>
      <c r="D609" s="8"/>
      <c r="E609" s="78"/>
      <c r="F609" s="79"/>
    </row>
    <row r="610" ht="15.75" customHeight="1">
      <c r="A610" s="8"/>
      <c r="D610" s="8"/>
      <c r="E610" s="78"/>
      <c r="F610" s="79"/>
    </row>
    <row r="611" ht="15.75" customHeight="1">
      <c r="A611" s="8"/>
      <c r="D611" s="8"/>
      <c r="E611" s="78"/>
      <c r="F611" s="79"/>
    </row>
    <row r="612" ht="15.75" customHeight="1">
      <c r="A612" s="8"/>
      <c r="D612" s="8"/>
      <c r="E612" s="78"/>
      <c r="F612" s="79"/>
    </row>
    <row r="613" ht="15.75" customHeight="1">
      <c r="A613" s="8"/>
      <c r="D613" s="8"/>
      <c r="E613" s="78"/>
      <c r="F613" s="79"/>
    </row>
    <row r="614" ht="15.75" customHeight="1">
      <c r="A614" s="8"/>
      <c r="D614" s="8"/>
      <c r="E614" s="78"/>
      <c r="F614" s="79"/>
    </row>
    <row r="615" ht="15.75" customHeight="1">
      <c r="A615" s="8"/>
      <c r="D615" s="8"/>
      <c r="E615" s="78"/>
      <c r="F615" s="79"/>
    </row>
    <row r="616" ht="15.75" customHeight="1">
      <c r="A616" s="8"/>
      <c r="D616" s="8"/>
      <c r="E616" s="78"/>
      <c r="F616" s="79"/>
    </row>
    <row r="617" ht="15.75" customHeight="1">
      <c r="A617" s="8"/>
      <c r="D617" s="8"/>
      <c r="E617" s="78"/>
      <c r="F617" s="79"/>
    </row>
    <row r="618" ht="15.75" customHeight="1">
      <c r="A618" s="8"/>
      <c r="D618" s="8"/>
      <c r="E618" s="78"/>
      <c r="F618" s="79"/>
    </row>
    <row r="619" ht="15.75" customHeight="1">
      <c r="A619" s="8"/>
      <c r="D619" s="8"/>
      <c r="E619" s="78"/>
      <c r="F619" s="79"/>
    </row>
    <row r="620" ht="15.75" customHeight="1">
      <c r="A620" s="8"/>
      <c r="D620" s="8"/>
      <c r="E620" s="78"/>
      <c r="F620" s="79"/>
    </row>
    <row r="621" ht="15.75" customHeight="1">
      <c r="A621" s="8"/>
      <c r="D621" s="8"/>
      <c r="E621" s="78"/>
      <c r="F621" s="79"/>
    </row>
    <row r="622" ht="15.75" customHeight="1">
      <c r="A622" s="8"/>
      <c r="D622" s="8"/>
      <c r="E622" s="78"/>
      <c r="F622" s="79"/>
    </row>
    <row r="623" ht="15.75" customHeight="1">
      <c r="A623" s="8"/>
      <c r="D623" s="8"/>
      <c r="E623" s="78"/>
      <c r="F623" s="79"/>
    </row>
    <row r="624" ht="15.75" customHeight="1">
      <c r="A624" s="8"/>
      <c r="D624" s="8"/>
      <c r="E624" s="78"/>
      <c r="F624" s="79"/>
    </row>
    <row r="625" ht="15.75" customHeight="1">
      <c r="A625" s="8"/>
      <c r="D625" s="8"/>
      <c r="E625" s="78"/>
      <c r="F625" s="79"/>
    </row>
    <row r="626" ht="15.75" customHeight="1">
      <c r="A626" s="8"/>
      <c r="D626" s="8"/>
      <c r="E626" s="78"/>
      <c r="F626" s="79"/>
    </row>
    <row r="627" ht="15.75" customHeight="1">
      <c r="A627" s="8"/>
      <c r="D627" s="8"/>
      <c r="E627" s="78"/>
      <c r="F627" s="79"/>
    </row>
    <row r="628" ht="15.75" customHeight="1">
      <c r="A628" s="8"/>
      <c r="D628" s="8"/>
      <c r="E628" s="78"/>
      <c r="F628" s="79"/>
    </row>
    <row r="629" ht="15.75" customHeight="1">
      <c r="A629" s="8"/>
      <c r="D629" s="8"/>
      <c r="E629" s="78"/>
      <c r="F629" s="79"/>
    </row>
    <row r="630" ht="15.75" customHeight="1">
      <c r="A630" s="8"/>
      <c r="D630" s="8"/>
      <c r="E630" s="78"/>
      <c r="F630" s="79"/>
    </row>
    <row r="631" ht="15.75" customHeight="1">
      <c r="A631" s="8"/>
      <c r="D631" s="8"/>
      <c r="E631" s="78"/>
      <c r="F631" s="79"/>
    </row>
    <row r="632" ht="15.75" customHeight="1">
      <c r="A632" s="8"/>
      <c r="D632" s="8"/>
      <c r="E632" s="78"/>
      <c r="F632" s="79"/>
    </row>
    <row r="633" ht="15.75" customHeight="1">
      <c r="A633" s="8"/>
      <c r="D633" s="8"/>
      <c r="E633" s="78"/>
      <c r="F633" s="79"/>
    </row>
    <row r="634" ht="15.75" customHeight="1">
      <c r="A634" s="8"/>
      <c r="D634" s="8"/>
      <c r="E634" s="78"/>
      <c r="F634" s="79"/>
    </row>
    <row r="635" ht="15.75" customHeight="1">
      <c r="A635" s="8"/>
      <c r="D635" s="8"/>
      <c r="E635" s="78"/>
      <c r="F635" s="79"/>
    </row>
    <row r="636" ht="15.75" customHeight="1">
      <c r="A636" s="8"/>
      <c r="D636" s="8"/>
      <c r="E636" s="78"/>
      <c r="F636" s="79"/>
    </row>
    <row r="637" ht="15.75" customHeight="1">
      <c r="A637" s="8"/>
      <c r="D637" s="8"/>
      <c r="E637" s="78"/>
      <c r="F637" s="79"/>
    </row>
    <row r="638" ht="15.75" customHeight="1">
      <c r="A638" s="8"/>
      <c r="D638" s="8"/>
      <c r="E638" s="78"/>
      <c r="F638" s="79"/>
    </row>
    <row r="639" ht="15.75" customHeight="1">
      <c r="A639" s="8"/>
      <c r="D639" s="8"/>
      <c r="E639" s="78"/>
      <c r="F639" s="79"/>
    </row>
    <row r="640" ht="15.75" customHeight="1">
      <c r="A640" s="8"/>
      <c r="D640" s="8"/>
      <c r="E640" s="78"/>
      <c r="F640" s="79"/>
    </row>
    <row r="641" ht="15.75" customHeight="1">
      <c r="A641" s="8"/>
      <c r="D641" s="8"/>
      <c r="E641" s="78"/>
      <c r="F641" s="79"/>
    </row>
    <row r="642" ht="15.75" customHeight="1">
      <c r="A642" s="8"/>
      <c r="D642" s="8"/>
      <c r="E642" s="78"/>
      <c r="F642" s="79"/>
    </row>
    <row r="643" ht="15.75" customHeight="1">
      <c r="A643" s="8"/>
      <c r="D643" s="8"/>
      <c r="E643" s="78"/>
      <c r="F643" s="79"/>
    </row>
    <row r="644" ht="15.75" customHeight="1">
      <c r="A644" s="8"/>
      <c r="D644" s="8"/>
      <c r="E644" s="78"/>
      <c r="F644" s="79"/>
    </row>
    <row r="645" ht="15.75" customHeight="1">
      <c r="A645" s="8"/>
      <c r="D645" s="8"/>
      <c r="E645" s="78"/>
      <c r="F645" s="79"/>
    </row>
    <row r="646" ht="15.75" customHeight="1">
      <c r="A646" s="8"/>
      <c r="D646" s="8"/>
      <c r="E646" s="78"/>
      <c r="F646" s="79"/>
    </row>
    <row r="647" ht="15.75" customHeight="1">
      <c r="A647" s="8"/>
      <c r="D647" s="8"/>
      <c r="E647" s="78"/>
      <c r="F647" s="79"/>
    </row>
    <row r="648" ht="15.75" customHeight="1">
      <c r="A648" s="8"/>
      <c r="D648" s="8"/>
      <c r="E648" s="78"/>
      <c r="F648" s="79"/>
    </row>
    <row r="649" ht="15.75" customHeight="1">
      <c r="A649" s="8"/>
      <c r="D649" s="8"/>
      <c r="E649" s="78"/>
      <c r="F649" s="79"/>
    </row>
    <row r="650" ht="15.75" customHeight="1">
      <c r="A650" s="8"/>
      <c r="D650" s="8"/>
      <c r="E650" s="78"/>
      <c r="F650" s="79"/>
    </row>
    <row r="651" ht="15.75" customHeight="1">
      <c r="A651" s="8"/>
      <c r="D651" s="8"/>
      <c r="E651" s="78"/>
      <c r="F651" s="79"/>
    </row>
    <row r="652" ht="15.75" customHeight="1">
      <c r="A652" s="8"/>
      <c r="D652" s="8"/>
      <c r="E652" s="78"/>
      <c r="F652" s="79"/>
    </row>
    <row r="653" ht="15.75" customHeight="1">
      <c r="A653" s="8"/>
      <c r="D653" s="8"/>
      <c r="E653" s="78"/>
      <c r="F653" s="79"/>
    </row>
    <row r="654" ht="15.75" customHeight="1">
      <c r="A654" s="8"/>
      <c r="D654" s="8"/>
      <c r="E654" s="78"/>
      <c r="F654" s="79"/>
    </row>
    <row r="655" ht="15.75" customHeight="1">
      <c r="A655" s="8"/>
      <c r="D655" s="8"/>
      <c r="E655" s="78"/>
      <c r="F655" s="79"/>
    </row>
    <row r="656" ht="15.75" customHeight="1">
      <c r="A656" s="8"/>
      <c r="D656" s="8"/>
      <c r="E656" s="78"/>
      <c r="F656" s="79"/>
    </row>
    <row r="657" ht="15.75" customHeight="1">
      <c r="A657" s="8"/>
      <c r="D657" s="8"/>
      <c r="E657" s="78"/>
      <c r="F657" s="79"/>
    </row>
    <row r="658" ht="15.75" customHeight="1">
      <c r="A658" s="8"/>
      <c r="D658" s="8"/>
      <c r="E658" s="78"/>
      <c r="F658" s="79"/>
    </row>
    <row r="659" ht="15.75" customHeight="1">
      <c r="A659" s="8"/>
      <c r="D659" s="8"/>
      <c r="E659" s="78"/>
      <c r="F659" s="79"/>
    </row>
    <row r="660" ht="15.75" customHeight="1">
      <c r="A660" s="8"/>
      <c r="D660" s="8"/>
      <c r="E660" s="78"/>
      <c r="F660" s="79"/>
    </row>
    <row r="661" ht="15.75" customHeight="1">
      <c r="A661" s="8"/>
      <c r="D661" s="8"/>
      <c r="E661" s="78"/>
      <c r="F661" s="79"/>
    </row>
    <row r="662" ht="15.75" customHeight="1">
      <c r="A662" s="8"/>
      <c r="D662" s="8"/>
      <c r="E662" s="78"/>
      <c r="F662" s="79"/>
    </row>
    <row r="663" ht="15.75" customHeight="1">
      <c r="A663" s="8"/>
      <c r="D663" s="8"/>
      <c r="E663" s="78"/>
      <c r="F663" s="79"/>
    </row>
    <row r="664" ht="15.75" customHeight="1">
      <c r="A664" s="8"/>
      <c r="D664" s="8"/>
      <c r="E664" s="78"/>
      <c r="F664" s="79"/>
    </row>
    <row r="665" ht="15.75" customHeight="1">
      <c r="A665" s="8"/>
      <c r="D665" s="8"/>
      <c r="E665" s="78"/>
      <c r="F665" s="79"/>
    </row>
    <row r="666" ht="15.75" customHeight="1">
      <c r="A666" s="8"/>
      <c r="D666" s="8"/>
      <c r="E666" s="78"/>
      <c r="F666" s="79"/>
    </row>
    <row r="667" ht="15.75" customHeight="1">
      <c r="A667" s="8"/>
      <c r="D667" s="8"/>
      <c r="E667" s="78"/>
      <c r="F667" s="79"/>
    </row>
    <row r="668" ht="15.75" customHeight="1">
      <c r="A668" s="8"/>
      <c r="D668" s="8"/>
      <c r="E668" s="78"/>
      <c r="F668" s="79"/>
    </row>
    <row r="669" ht="15.75" customHeight="1">
      <c r="A669" s="8"/>
      <c r="D669" s="8"/>
      <c r="E669" s="78"/>
      <c r="F669" s="79"/>
    </row>
    <row r="670" ht="15.75" customHeight="1">
      <c r="A670" s="8"/>
      <c r="D670" s="8"/>
      <c r="E670" s="78"/>
      <c r="F670" s="79"/>
    </row>
    <row r="671" ht="15.75" customHeight="1">
      <c r="A671" s="8"/>
      <c r="D671" s="8"/>
      <c r="E671" s="78"/>
      <c r="F671" s="79"/>
    </row>
    <row r="672" ht="15.75" customHeight="1">
      <c r="A672" s="8"/>
      <c r="D672" s="8"/>
      <c r="E672" s="78"/>
      <c r="F672" s="79"/>
    </row>
    <row r="673" ht="15.75" customHeight="1">
      <c r="A673" s="8"/>
      <c r="D673" s="8"/>
      <c r="E673" s="78"/>
      <c r="F673" s="79"/>
    </row>
    <row r="674" ht="15.75" customHeight="1">
      <c r="A674" s="8"/>
      <c r="D674" s="8"/>
      <c r="E674" s="78"/>
      <c r="F674" s="79"/>
    </row>
    <row r="675" ht="15.75" customHeight="1">
      <c r="A675" s="8"/>
      <c r="D675" s="8"/>
      <c r="E675" s="78"/>
      <c r="F675" s="79"/>
    </row>
    <row r="676" ht="15.75" customHeight="1">
      <c r="A676" s="8"/>
      <c r="D676" s="8"/>
      <c r="E676" s="78"/>
      <c r="F676" s="79"/>
    </row>
    <row r="677" ht="15.75" customHeight="1">
      <c r="A677" s="8"/>
      <c r="D677" s="8"/>
      <c r="E677" s="78"/>
      <c r="F677" s="79"/>
    </row>
    <row r="678" ht="15.75" customHeight="1">
      <c r="A678" s="8"/>
      <c r="D678" s="8"/>
      <c r="E678" s="78"/>
      <c r="F678" s="79"/>
    </row>
    <row r="679" ht="15.75" customHeight="1">
      <c r="A679" s="8"/>
      <c r="D679" s="8"/>
      <c r="E679" s="78"/>
      <c r="F679" s="79"/>
    </row>
    <row r="680" ht="15.75" customHeight="1">
      <c r="A680" s="8"/>
      <c r="D680" s="8"/>
      <c r="E680" s="78"/>
      <c r="F680" s="79"/>
    </row>
    <row r="681" ht="15.75" customHeight="1">
      <c r="A681" s="8"/>
      <c r="D681" s="8"/>
      <c r="E681" s="78"/>
      <c r="F681" s="79"/>
    </row>
    <row r="682" ht="15.75" customHeight="1">
      <c r="A682" s="8"/>
      <c r="D682" s="8"/>
      <c r="E682" s="78"/>
      <c r="F682" s="79"/>
    </row>
    <row r="683" ht="15.75" customHeight="1">
      <c r="A683" s="8"/>
      <c r="D683" s="8"/>
      <c r="E683" s="78"/>
      <c r="F683" s="79"/>
    </row>
    <row r="684" ht="15.75" customHeight="1">
      <c r="A684" s="8"/>
      <c r="D684" s="8"/>
      <c r="E684" s="78"/>
      <c r="F684" s="79"/>
    </row>
    <row r="685" ht="15.75" customHeight="1">
      <c r="A685" s="8"/>
      <c r="D685" s="8"/>
      <c r="E685" s="78"/>
      <c r="F685" s="79"/>
    </row>
    <row r="686" ht="15.75" customHeight="1">
      <c r="A686" s="8"/>
      <c r="D686" s="8"/>
      <c r="E686" s="78"/>
      <c r="F686" s="79"/>
    </row>
    <row r="687" ht="15.75" customHeight="1">
      <c r="A687" s="8"/>
      <c r="D687" s="8"/>
      <c r="E687" s="78"/>
      <c r="F687" s="79"/>
    </row>
    <row r="688" ht="15.75" customHeight="1">
      <c r="A688" s="8"/>
      <c r="D688" s="8"/>
      <c r="E688" s="78"/>
      <c r="F688" s="79"/>
    </row>
    <row r="689" ht="15.75" customHeight="1">
      <c r="A689" s="8"/>
      <c r="D689" s="8"/>
      <c r="E689" s="78"/>
      <c r="F689" s="79"/>
    </row>
    <row r="690" ht="15.75" customHeight="1">
      <c r="A690" s="8"/>
      <c r="D690" s="8"/>
      <c r="E690" s="78"/>
      <c r="F690" s="79"/>
    </row>
    <row r="691" ht="15.75" customHeight="1">
      <c r="A691" s="8"/>
      <c r="D691" s="8"/>
      <c r="E691" s="78"/>
      <c r="F691" s="79"/>
    </row>
    <row r="692" ht="15.75" customHeight="1">
      <c r="A692" s="8"/>
      <c r="D692" s="8"/>
      <c r="E692" s="78"/>
      <c r="F692" s="79"/>
    </row>
    <row r="693" ht="15.75" customHeight="1">
      <c r="A693" s="8"/>
      <c r="D693" s="8"/>
      <c r="E693" s="78"/>
      <c r="F693" s="79"/>
    </row>
    <row r="694" ht="15.75" customHeight="1">
      <c r="A694" s="8"/>
      <c r="D694" s="8"/>
      <c r="E694" s="78"/>
      <c r="F694" s="79"/>
    </row>
    <row r="695" ht="15.75" customHeight="1">
      <c r="A695" s="8"/>
      <c r="D695" s="8"/>
      <c r="E695" s="78"/>
      <c r="F695" s="79"/>
    </row>
    <row r="696" ht="15.75" customHeight="1">
      <c r="A696" s="8"/>
      <c r="D696" s="8"/>
      <c r="E696" s="78"/>
      <c r="F696" s="79"/>
    </row>
    <row r="697" ht="15.75" customHeight="1">
      <c r="A697" s="8"/>
      <c r="D697" s="8"/>
      <c r="E697" s="78"/>
      <c r="F697" s="79"/>
    </row>
    <row r="698" ht="15.75" customHeight="1">
      <c r="A698" s="8"/>
      <c r="D698" s="8"/>
      <c r="E698" s="78"/>
      <c r="F698" s="79"/>
    </row>
    <row r="699" ht="15.75" customHeight="1">
      <c r="A699" s="8"/>
      <c r="D699" s="8"/>
      <c r="E699" s="78"/>
      <c r="F699" s="79"/>
    </row>
    <row r="700" ht="15.75" customHeight="1">
      <c r="A700" s="8"/>
      <c r="D700" s="8"/>
      <c r="E700" s="78"/>
      <c r="F700" s="79"/>
    </row>
    <row r="701" ht="15.75" customHeight="1">
      <c r="A701" s="8"/>
      <c r="D701" s="8"/>
      <c r="E701" s="78"/>
      <c r="F701" s="79"/>
    </row>
    <row r="702" ht="15.75" customHeight="1">
      <c r="A702" s="8"/>
      <c r="D702" s="8"/>
      <c r="E702" s="78"/>
      <c r="F702" s="79"/>
    </row>
    <row r="703" ht="15.75" customHeight="1">
      <c r="A703" s="8"/>
      <c r="D703" s="8"/>
      <c r="E703" s="78"/>
      <c r="F703" s="79"/>
    </row>
    <row r="704" ht="15.75" customHeight="1">
      <c r="A704" s="8"/>
      <c r="D704" s="8"/>
      <c r="E704" s="78"/>
      <c r="F704" s="79"/>
    </row>
    <row r="705" ht="15.75" customHeight="1">
      <c r="A705" s="8"/>
      <c r="D705" s="8"/>
      <c r="E705" s="78"/>
      <c r="F705" s="79"/>
    </row>
    <row r="706" ht="15.75" customHeight="1">
      <c r="A706" s="8"/>
      <c r="D706" s="8"/>
      <c r="E706" s="78"/>
      <c r="F706" s="79"/>
    </row>
    <row r="707" ht="15.75" customHeight="1">
      <c r="A707" s="8"/>
      <c r="D707" s="8"/>
      <c r="E707" s="78"/>
      <c r="F707" s="79"/>
    </row>
    <row r="708" ht="15.75" customHeight="1">
      <c r="A708" s="8"/>
      <c r="D708" s="8"/>
      <c r="E708" s="78"/>
      <c r="F708" s="79"/>
    </row>
    <row r="709" ht="15.75" customHeight="1">
      <c r="A709" s="8"/>
      <c r="D709" s="8"/>
      <c r="E709" s="78"/>
      <c r="F709" s="79"/>
    </row>
    <row r="710" ht="15.75" customHeight="1">
      <c r="A710" s="8"/>
      <c r="D710" s="8"/>
      <c r="E710" s="78"/>
      <c r="F710" s="79"/>
    </row>
    <row r="711" ht="15.75" customHeight="1">
      <c r="A711" s="8"/>
      <c r="D711" s="8"/>
      <c r="E711" s="78"/>
      <c r="F711" s="79"/>
    </row>
    <row r="712" ht="15.75" customHeight="1">
      <c r="A712" s="8"/>
      <c r="D712" s="8"/>
      <c r="E712" s="78"/>
      <c r="F712" s="79"/>
    </row>
    <row r="713" ht="15.75" customHeight="1">
      <c r="A713" s="8"/>
      <c r="D713" s="8"/>
      <c r="E713" s="78"/>
      <c r="F713" s="79"/>
    </row>
    <row r="714" ht="15.75" customHeight="1">
      <c r="A714" s="8"/>
      <c r="D714" s="8"/>
      <c r="E714" s="78"/>
      <c r="F714" s="79"/>
    </row>
    <row r="715" ht="15.75" customHeight="1">
      <c r="A715" s="8"/>
      <c r="D715" s="8"/>
      <c r="E715" s="78"/>
      <c r="F715" s="79"/>
    </row>
    <row r="716" ht="15.75" customHeight="1">
      <c r="A716" s="8"/>
      <c r="D716" s="8"/>
      <c r="E716" s="78"/>
      <c r="F716" s="79"/>
    </row>
    <row r="717" ht="15.75" customHeight="1">
      <c r="A717" s="8"/>
      <c r="D717" s="8"/>
      <c r="E717" s="78"/>
      <c r="F717" s="79"/>
    </row>
    <row r="718" ht="15.75" customHeight="1">
      <c r="A718" s="8"/>
      <c r="D718" s="8"/>
      <c r="E718" s="78"/>
      <c r="F718" s="79"/>
    </row>
    <row r="719" ht="15.75" customHeight="1">
      <c r="A719" s="8"/>
      <c r="D719" s="8"/>
      <c r="E719" s="78"/>
      <c r="F719" s="79"/>
    </row>
    <row r="720" ht="15.75" customHeight="1">
      <c r="A720" s="8"/>
      <c r="D720" s="8"/>
      <c r="E720" s="78"/>
      <c r="F720" s="79"/>
    </row>
    <row r="721" ht="15.75" customHeight="1">
      <c r="A721" s="8"/>
      <c r="D721" s="8"/>
      <c r="E721" s="78"/>
      <c r="F721" s="79"/>
    </row>
    <row r="722" ht="15.75" customHeight="1">
      <c r="A722" s="8"/>
      <c r="D722" s="8"/>
      <c r="E722" s="78"/>
      <c r="F722" s="79"/>
    </row>
    <row r="723" ht="15.75" customHeight="1">
      <c r="A723" s="8"/>
      <c r="D723" s="8"/>
      <c r="E723" s="78"/>
      <c r="F723" s="79"/>
    </row>
    <row r="724" ht="15.75" customHeight="1">
      <c r="A724" s="8"/>
      <c r="D724" s="8"/>
      <c r="E724" s="78"/>
      <c r="F724" s="79"/>
    </row>
    <row r="725" ht="15.75" customHeight="1">
      <c r="A725" s="8"/>
      <c r="D725" s="8"/>
      <c r="E725" s="78"/>
      <c r="F725" s="79"/>
    </row>
    <row r="726" ht="15.75" customHeight="1">
      <c r="A726" s="8"/>
      <c r="D726" s="8"/>
      <c r="E726" s="78"/>
      <c r="F726" s="79"/>
    </row>
    <row r="727" ht="15.75" customHeight="1">
      <c r="A727" s="8"/>
      <c r="D727" s="8"/>
      <c r="E727" s="78"/>
      <c r="F727" s="79"/>
    </row>
    <row r="728" ht="15.75" customHeight="1">
      <c r="A728" s="8"/>
      <c r="D728" s="8"/>
      <c r="E728" s="78"/>
      <c r="F728" s="79"/>
    </row>
    <row r="729" ht="15.75" customHeight="1">
      <c r="A729" s="8"/>
      <c r="D729" s="8"/>
      <c r="E729" s="78"/>
      <c r="F729" s="79"/>
    </row>
    <row r="730" ht="15.75" customHeight="1">
      <c r="A730" s="8"/>
      <c r="D730" s="8"/>
      <c r="E730" s="78"/>
      <c r="F730" s="79"/>
    </row>
    <row r="731" ht="15.75" customHeight="1">
      <c r="A731" s="8"/>
      <c r="D731" s="8"/>
      <c r="E731" s="78"/>
      <c r="F731" s="79"/>
    </row>
    <row r="732" ht="15.75" customHeight="1">
      <c r="A732" s="8"/>
      <c r="D732" s="8"/>
      <c r="E732" s="78"/>
      <c r="F732" s="79"/>
    </row>
    <row r="733" ht="15.75" customHeight="1">
      <c r="A733" s="8"/>
      <c r="D733" s="8"/>
      <c r="E733" s="78"/>
      <c r="F733" s="79"/>
    </row>
    <row r="734" ht="15.75" customHeight="1">
      <c r="A734" s="8"/>
      <c r="D734" s="8"/>
      <c r="E734" s="78"/>
      <c r="F734" s="79"/>
    </row>
    <row r="735" ht="15.75" customHeight="1">
      <c r="A735" s="8"/>
      <c r="D735" s="8"/>
      <c r="E735" s="78"/>
      <c r="F735" s="79"/>
    </row>
    <row r="736" ht="15.75" customHeight="1">
      <c r="A736" s="8"/>
      <c r="D736" s="8"/>
      <c r="E736" s="78"/>
      <c r="F736" s="79"/>
    </row>
    <row r="737" ht="15.75" customHeight="1">
      <c r="A737" s="8"/>
      <c r="D737" s="8"/>
      <c r="E737" s="78"/>
      <c r="F737" s="79"/>
    </row>
    <row r="738" ht="15.75" customHeight="1">
      <c r="A738" s="8"/>
      <c r="D738" s="8"/>
      <c r="E738" s="78"/>
      <c r="F738" s="79"/>
    </row>
    <row r="739" ht="15.75" customHeight="1">
      <c r="A739" s="8"/>
      <c r="D739" s="8"/>
      <c r="E739" s="78"/>
      <c r="F739" s="79"/>
    </row>
    <row r="740" ht="15.75" customHeight="1">
      <c r="A740" s="8"/>
      <c r="D740" s="8"/>
      <c r="E740" s="78"/>
      <c r="F740" s="79"/>
    </row>
    <row r="741" ht="15.75" customHeight="1">
      <c r="A741" s="8"/>
      <c r="D741" s="8"/>
      <c r="E741" s="78"/>
      <c r="F741" s="79"/>
    </row>
    <row r="742" ht="15.75" customHeight="1">
      <c r="A742" s="8"/>
      <c r="D742" s="8"/>
      <c r="E742" s="78"/>
      <c r="F742" s="79"/>
    </row>
    <row r="743" ht="15.75" customHeight="1">
      <c r="A743" s="8"/>
      <c r="D743" s="8"/>
      <c r="E743" s="78"/>
      <c r="F743" s="79"/>
    </row>
    <row r="744" ht="15.75" customHeight="1">
      <c r="A744" s="8"/>
      <c r="D744" s="8"/>
      <c r="E744" s="78"/>
      <c r="F744" s="79"/>
    </row>
    <row r="745" ht="15.75" customHeight="1">
      <c r="A745" s="8"/>
      <c r="D745" s="8"/>
      <c r="E745" s="78"/>
      <c r="F745" s="79"/>
    </row>
    <row r="746" ht="15.75" customHeight="1">
      <c r="A746" s="8"/>
      <c r="D746" s="8"/>
      <c r="E746" s="78"/>
      <c r="F746" s="79"/>
    </row>
    <row r="747" ht="15.75" customHeight="1">
      <c r="A747" s="8"/>
      <c r="D747" s="8"/>
      <c r="E747" s="78"/>
      <c r="F747" s="79"/>
    </row>
    <row r="748" ht="15.75" customHeight="1">
      <c r="A748" s="8"/>
      <c r="D748" s="8"/>
      <c r="E748" s="78"/>
      <c r="F748" s="79"/>
    </row>
    <row r="749" ht="15.75" customHeight="1">
      <c r="A749" s="8"/>
      <c r="D749" s="8"/>
      <c r="E749" s="78"/>
      <c r="F749" s="79"/>
    </row>
    <row r="750" ht="15.75" customHeight="1">
      <c r="A750" s="8"/>
      <c r="D750" s="8"/>
      <c r="E750" s="78"/>
      <c r="F750" s="79"/>
    </row>
    <row r="751" ht="15.75" customHeight="1">
      <c r="A751" s="8"/>
      <c r="D751" s="8"/>
      <c r="E751" s="78"/>
      <c r="F751" s="79"/>
    </row>
    <row r="752" ht="15.75" customHeight="1">
      <c r="A752" s="8"/>
      <c r="D752" s="8"/>
      <c r="E752" s="78"/>
      <c r="F752" s="79"/>
    </row>
    <row r="753" ht="15.75" customHeight="1">
      <c r="A753" s="8"/>
      <c r="D753" s="8"/>
      <c r="E753" s="78"/>
      <c r="F753" s="79"/>
    </row>
    <row r="754" ht="15.75" customHeight="1">
      <c r="A754" s="8"/>
      <c r="D754" s="8"/>
      <c r="E754" s="78"/>
      <c r="F754" s="79"/>
    </row>
    <row r="755" ht="15.75" customHeight="1">
      <c r="A755" s="8"/>
      <c r="D755" s="8"/>
      <c r="E755" s="78"/>
      <c r="F755" s="79"/>
    </row>
    <row r="756" ht="15.75" customHeight="1">
      <c r="A756" s="8"/>
      <c r="D756" s="8"/>
      <c r="E756" s="78"/>
      <c r="F756" s="79"/>
    </row>
    <row r="757" ht="15.75" customHeight="1">
      <c r="A757" s="8"/>
      <c r="D757" s="8"/>
      <c r="E757" s="78"/>
      <c r="F757" s="79"/>
    </row>
    <row r="758" ht="15.75" customHeight="1">
      <c r="A758" s="8"/>
      <c r="D758" s="8"/>
      <c r="E758" s="78"/>
      <c r="F758" s="79"/>
    </row>
    <row r="759" ht="15.75" customHeight="1">
      <c r="A759" s="8"/>
      <c r="D759" s="8"/>
      <c r="E759" s="78"/>
      <c r="F759" s="79"/>
    </row>
    <row r="760" ht="15.75" customHeight="1">
      <c r="A760" s="8"/>
      <c r="D760" s="8"/>
      <c r="E760" s="78"/>
      <c r="F760" s="79"/>
    </row>
    <row r="761" ht="15.75" customHeight="1">
      <c r="A761" s="8"/>
      <c r="D761" s="8"/>
      <c r="E761" s="78"/>
      <c r="F761" s="79"/>
    </row>
    <row r="762" ht="15.75" customHeight="1">
      <c r="A762" s="8"/>
      <c r="D762" s="8"/>
      <c r="E762" s="78"/>
      <c r="F762" s="79"/>
    </row>
    <row r="763" ht="15.75" customHeight="1">
      <c r="A763" s="8"/>
      <c r="D763" s="8"/>
      <c r="E763" s="78"/>
      <c r="F763" s="79"/>
    </row>
    <row r="764" ht="15.75" customHeight="1">
      <c r="A764" s="8"/>
      <c r="D764" s="8"/>
      <c r="E764" s="78"/>
      <c r="F764" s="79"/>
    </row>
    <row r="765" ht="15.75" customHeight="1">
      <c r="A765" s="8"/>
      <c r="D765" s="8"/>
      <c r="E765" s="78"/>
      <c r="F765" s="79"/>
    </row>
    <row r="766" ht="15.75" customHeight="1">
      <c r="A766" s="8"/>
      <c r="D766" s="8"/>
      <c r="E766" s="78"/>
      <c r="F766" s="79"/>
    </row>
    <row r="767" ht="15.75" customHeight="1">
      <c r="A767" s="8"/>
      <c r="D767" s="8"/>
      <c r="E767" s="78"/>
      <c r="F767" s="79"/>
    </row>
    <row r="768" ht="15.75" customHeight="1">
      <c r="A768" s="8"/>
      <c r="D768" s="8"/>
      <c r="E768" s="78"/>
      <c r="F768" s="79"/>
    </row>
    <row r="769" ht="15.75" customHeight="1">
      <c r="A769" s="8"/>
      <c r="D769" s="8"/>
      <c r="E769" s="78"/>
      <c r="F769" s="79"/>
    </row>
    <row r="770" ht="15.75" customHeight="1">
      <c r="A770" s="8"/>
      <c r="D770" s="8"/>
      <c r="E770" s="78"/>
      <c r="F770" s="79"/>
    </row>
    <row r="771" ht="15.75" customHeight="1">
      <c r="A771" s="8"/>
      <c r="D771" s="8"/>
      <c r="E771" s="78"/>
      <c r="F771" s="79"/>
    </row>
    <row r="772" ht="15.75" customHeight="1">
      <c r="A772" s="8"/>
      <c r="D772" s="8"/>
      <c r="E772" s="78"/>
      <c r="F772" s="79"/>
    </row>
    <row r="773" ht="15.75" customHeight="1">
      <c r="A773" s="8"/>
      <c r="D773" s="8"/>
      <c r="E773" s="78"/>
      <c r="F773" s="79"/>
    </row>
    <row r="774" ht="15.75" customHeight="1">
      <c r="A774" s="8"/>
      <c r="D774" s="8"/>
      <c r="E774" s="78"/>
      <c r="F774" s="79"/>
    </row>
    <row r="775" ht="15.75" customHeight="1">
      <c r="A775" s="8"/>
      <c r="D775" s="8"/>
      <c r="E775" s="78"/>
      <c r="F775" s="79"/>
    </row>
    <row r="776" ht="15.75" customHeight="1">
      <c r="A776" s="8"/>
      <c r="D776" s="8"/>
      <c r="E776" s="78"/>
      <c r="F776" s="79"/>
    </row>
    <row r="777" ht="15.75" customHeight="1">
      <c r="A777" s="8"/>
      <c r="D777" s="8"/>
      <c r="E777" s="78"/>
      <c r="F777" s="79"/>
    </row>
    <row r="778" ht="15.75" customHeight="1">
      <c r="A778" s="8"/>
      <c r="D778" s="8"/>
      <c r="E778" s="78"/>
      <c r="F778" s="79"/>
    </row>
    <row r="779" ht="15.75" customHeight="1">
      <c r="A779" s="8"/>
      <c r="D779" s="8"/>
      <c r="E779" s="78"/>
      <c r="F779" s="79"/>
    </row>
    <row r="780" ht="15.75" customHeight="1">
      <c r="A780" s="8"/>
      <c r="D780" s="8"/>
      <c r="E780" s="78"/>
      <c r="F780" s="79"/>
    </row>
    <row r="781" ht="15.75" customHeight="1">
      <c r="A781" s="8"/>
      <c r="D781" s="8"/>
      <c r="E781" s="78"/>
      <c r="F781" s="79"/>
    </row>
    <row r="782" ht="15.75" customHeight="1">
      <c r="A782" s="8"/>
      <c r="D782" s="8"/>
      <c r="E782" s="78"/>
      <c r="F782" s="79"/>
    </row>
    <row r="783" ht="15.75" customHeight="1">
      <c r="A783" s="8"/>
      <c r="D783" s="8"/>
      <c r="E783" s="78"/>
      <c r="F783" s="79"/>
    </row>
    <row r="784" ht="15.75" customHeight="1">
      <c r="A784" s="8"/>
      <c r="D784" s="8"/>
      <c r="E784" s="78"/>
      <c r="F784" s="79"/>
    </row>
    <row r="785" ht="15.75" customHeight="1">
      <c r="A785" s="8"/>
      <c r="D785" s="8"/>
      <c r="E785" s="78"/>
      <c r="F785" s="79"/>
    </row>
    <row r="786" ht="15.75" customHeight="1">
      <c r="A786" s="8"/>
      <c r="D786" s="8"/>
      <c r="E786" s="78"/>
      <c r="F786" s="79"/>
    </row>
    <row r="787" ht="15.75" customHeight="1">
      <c r="A787" s="8"/>
      <c r="D787" s="8"/>
      <c r="E787" s="78"/>
      <c r="F787" s="79"/>
    </row>
    <row r="788" ht="15.75" customHeight="1">
      <c r="A788" s="8"/>
      <c r="D788" s="8"/>
      <c r="E788" s="78"/>
      <c r="F788" s="79"/>
    </row>
    <row r="789" ht="15.75" customHeight="1">
      <c r="A789" s="8"/>
      <c r="D789" s="8"/>
      <c r="E789" s="78"/>
      <c r="F789" s="79"/>
    </row>
    <row r="790" ht="15.75" customHeight="1">
      <c r="A790" s="8"/>
      <c r="D790" s="8"/>
      <c r="E790" s="78"/>
      <c r="F790" s="79"/>
    </row>
    <row r="791" ht="15.75" customHeight="1">
      <c r="A791" s="8"/>
      <c r="D791" s="8"/>
      <c r="E791" s="78"/>
      <c r="F791" s="79"/>
    </row>
    <row r="792" ht="15.75" customHeight="1">
      <c r="A792" s="8"/>
      <c r="D792" s="8"/>
      <c r="E792" s="78"/>
      <c r="F792" s="79"/>
    </row>
    <row r="793" ht="15.75" customHeight="1">
      <c r="A793" s="8"/>
      <c r="D793" s="8"/>
      <c r="E793" s="78"/>
      <c r="F793" s="79"/>
    </row>
    <row r="794" ht="15.75" customHeight="1">
      <c r="A794" s="8"/>
      <c r="D794" s="8"/>
      <c r="E794" s="78"/>
      <c r="F794" s="79"/>
    </row>
    <row r="795" ht="15.75" customHeight="1">
      <c r="A795" s="8"/>
      <c r="D795" s="8"/>
      <c r="E795" s="78"/>
      <c r="F795" s="79"/>
    </row>
    <row r="796" ht="15.75" customHeight="1">
      <c r="A796" s="8"/>
      <c r="D796" s="8"/>
      <c r="E796" s="78"/>
      <c r="F796" s="79"/>
    </row>
    <row r="797" ht="15.75" customHeight="1">
      <c r="A797" s="8"/>
      <c r="D797" s="8"/>
      <c r="E797" s="78"/>
      <c r="F797" s="79"/>
    </row>
    <row r="798" ht="15.75" customHeight="1">
      <c r="A798" s="8"/>
      <c r="D798" s="8"/>
      <c r="E798" s="78"/>
      <c r="F798" s="79"/>
    </row>
    <row r="799" ht="15.75" customHeight="1">
      <c r="A799" s="8"/>
      <c r="D799" s="8"/>
      <c r="E799" s="78"/>
      <c r="F799" s="79"/>
    </row>
    <row r="800" ht="15.75" customHeight="1">
      <c r="A800" s="8"/>
      <c r="D800" s="8"/>
      <c r="E800" s="78"/>
      <c r="F800" s="79"/>
    </row>
    <row r="801" ht="15.75" customHeight="1">
      <c r="A801" s="8"/>
      <c r="D801" s="8"/>
      <c r="E801" s="78"/>
      <c r="F801" s="79"/>
    </row>
    <row r="802" ht="15.75" customHeight="1">
      <c r="A802" s="8"/>
      <c r="D802" s="8"/>
      <c r="E802" s="78"/>
      <c r="F802" s="79"/>
    </row>
    <row r="803" ht="15.75" customHeight="1">
      <c r="A803" s="8"/>
      <c r="D803" s="8"/>
      <c r="E803" s="78"/>
      <c r="F803" s="79"/>
    </row>
    <row r="804" ht="15.75" customHeight="1">
      <c r="A804" s="8"/>
      <c r="D804" s="8"/>
      <c r="E804" s="78"/>
      <c r="F804" s="79"/>
    </row>
    <row r="805" ht="15.75" customHeight="1">
      <c r="A805" s="8"/>
      <c r="D805" s="8"/>
      <c r="E805" s="78"/>
      <c r="F805" s="79"/>
    </row>
    <row r="806" ht="15.75" customHeight="1">
      <c r="A806" s="8"/>
      <c r="D806" s="8"/>
      <c r="E806" s="78"/>
      <c r="F806" s="79"/>
    </row>
    <row r="807" ht="15.75" customHeight="1">
      <c r="A807" s="8"/>
      <c r="D807" s="8"/>
      <c r="E807" s="78"/>
      <c r="F807" s="79"/>
    </row>
    <row r="808" ht="15.75" customHeight="1">
      <c r="A808" s="8"/>
      <c r="D808" s="8"/>
      <c r="E808" s="78"/>
      <c r="F808" s="79"/>
    </row>
    <row r="809" ht="15.75" customHeight="1">
      <c r="A809" s="8"/>
      <c r="D809" s="8"/>
      <c r="E809" s="78"/>
      <c r="F809" s="79"/>
    </row>
    <row r="810" ht="15.75" customHeight="1">
      <c r="A810" s="8"/>
      <c r="D810" s="8"/>
      <c r="E810" s="78"/>
      <c r="F810" s="79"/>
    </row>
    <row r="811" ht="15.75" customHeight="1">
      <c r="A811" s="8"/>
      <c r="D811" s="8"/>
      <c r="E811" s="78"/>
      <c r="F811" s="79"/>
    </row>
    <row r="812" ht="15.75" customHeight="1">
      <c r="A812" s="8"/>
      <c r="D812" s="8"/>
      <c r="E812" s="78"/>
      <c r="F812" s="79"/>
    </row>
    <row r="813" ht="15.75" customHeight="1">
      <c r="A813" s="8"/>
      <c r="D813" s="8"/>
      <c r="E813" s="78"/>
      <c r="F813" s="79"/>
    </row>
    <row r="814" ht="15.75" customHeight="1">
      <c r="A814" s="8"/>
      <c r="D814" s="8"/>
      <c r="E814" s="78"/>
      <c r="F814" s="79"/>
    </row>
    <row r="815" ht="15.75" customHeight="1">
      <c r="A815" s="8"/>
      <c r="D815" s="8"/>
      <c r="E815" s="78"/>
      <c r="F815" s="79"/>
    </row>
    <row r="816" ht="15.75" customHeight="1">
      <c r="A816" s="8"/>
      <c r="D816" s="8"/>
      <c r="E816" s="78"/>
      <c r="F816" s="79"/>
    </row>
    <row r="817" ht="15.75" customHeight="1">
      <c r="A817" s="8"/>
      <c r="D817" s="8"/>
      <c r="E817" s="78"/>
      <c r="F817" s="79"/>
    </row>
    <row r="818" ht="15.75" customHeight="1">
      <c r="A818" s="8"/>
      <c r="D818" s="8"/>
      <c r="E818" s="78"/>
      <c r="F818" s="79"/>
    </row>
    <row r="819" ht="15.75" customHeight="1">
      <c r="A819" s="8"/>
      <c r="D819" s="8"/>
      <c r="E819" s="78"/>
      <c r="F819" s="79"/>
    </row>
    <row r="820" ht="15.75" customHeight="1">
      <c r="A820" s="8"/>
      <c r="D820" s="8"/>
      <c r="E820" s="78"/>
      <c r="F820" s="79"/>
    </row>
    <row r="821" ht="15.75" customHeight="1">
      <c r="A821" s="8"/>
      <c r="D821" s="8"/>
      <c r="E821" s="78"/>
      <c r="F821" s="79"/>
    </row>
    <row r="822" ht="15.75" customHeight="1">
      <c r="A822" s="8"/>
      <c r="D822" s="8"/>
      <c r="E822" s="78"/>
      <c r="F822" s="79"/>
    </row>
    <row r="823" ht="15.75" customHeight="1">
      <c r="A823" s="8"/>
      <c r="D823" s="8"/>
      <c r="E823" s="78"/>
      <c r="F823" s="79"/>
    </row>
    <row r="824" ht="15.75" customHeight="1">
      <c r="A824" s="8"/>
      <c r="D824" s="8"/>
      <c r="E824" s="78"/>
      <c r="F824" s="79"/>
    </row>
    <row r="825" ht="15.75" customHeight="1">
      <c r="A825" s="8"/>
      <c r="D825" s="8"/>
      <c r="E825" s="78"/>
      <c r="F825" s="79"/>
    </row>
    <row r="826" ht="15.75" customHeight="1">
      <c r="A826" s="8"/>
      <c r="D826" s="8"/>
      <c r="E826" s="78"/>
      <c r="F826" s="79"/>
    </row>
    <row r="827" ht="15.75" customHeight="1">
      <c r="A827" s="8"/>
      <c r="D827" s="8"/>
      <c r="E827" s="78"/>
      <c r="F827" s="79"/>
    </row>
    <row r="828" ht="15.75" customHeight="1">
      <c r="A828" s="8"/>
      <c r="D828" s="8"/>
      <c r="E828" s="78"/>
      <c r="F828" s="79"/>
    </row>
    <row r="829" ht="15.75" customHeight="1">
      <c r="A829" s="8"/>
      <c r="D829" s="8"/>
      <c r="E829" s="78"/>
      <c r="F829" s="79"/>
    </row>
    <row r="830" ht="15.75" customHeight="1">
      <c r="A830" s="8"/>
      <c r="D830" s="8"/>
      <c r="E830" s="78"/>
      <c r="F830" s="79"/>
    </row>
    <row r="831" ht="15.75" customHeight="1">
      <c r="A831" s="8"/>
      <c r="D831" s="8"/>
      <c r="E831" s="78"/>
      <c r="F831" s="79"/>
    </row>
    <row r="832" ht="15.75" customHeight="1">
      <c r="A832" s="8"/>
      <c r="D832" s="8"/>
      <c r="E832" s="78"/>
      <c r="F832" s="79"/>
    </row>
    <row r="833" ht="15.75" customHeight="1">
      <c r="A833" s="8"/>
      <c r="D833" s="8"/>
      <c r="E833" s="78"/>
      <c r="F833" s="79"/>
    </row>
    <row r="834" ht="15.75" customHeight="1">
      <c r="A834" s="8"/>
      <c r="D834" s="8"/>
      <c r="E834" s="78"/>
      <c r="F834" s="79"/>
    </row>
    <row r="835" ht="15.75" customHeight="1">
      <c r="A835" s="8"/>
      <c r="D835" s="8"/>
      <c r="E835" s="78"/>
      <c r="F835" s="79"/>
    </row>
    <row r="836" ht="15.75" customHeight="1">
      <c r="A836" s="8"/>
      <c r="D836" s="8"/>
      <c r="E836" s="78"/>
      <c r="F836" s="79"/>
    </row>
    <row r="837" ht="15.75" customHeight="1">
      <c r="A837" s="8"/>
      <c r="D837" s="8"/>
      <c r="E837" s="78"/>
      <c r="F837" s="79"/>
    </row>
    <row r="838" ht="15.75" customHeight="1">
      <c r="A838" s="8"/>
      <c r="D838" s="8"/>
      <c r="E838" s="78"/>
      <c r="F838" s="79"/>
    </row>
    <row r="839" ht="15.75" customHeight="1">
      <c r="A839" s="8"/>
      <c r="D839" s="8"/>
      <c r="E839" s="78"/>
      <c r="F839" s="79"/>
    </row>
    <row r="840" ht="15.75" customHeight="1">
      <c r="A840" s="8"/>
      <c r="D840" s="8"/>
      <c r="E840" s="78"/>
      <c r="F840" s="79"/>
    </row>
    <row r="841" ht="15.75" customHeight="1">
      <c r="A841" s="8"/>
      <c r="D841" s="8"/>
      <c r="E841" s="78"/>
      <c r="F841" s="79"/>
    </row>
    <row r="842" ht="15.75" customHeight="1">
      <c r="A842" s="8"/>
      <c r="D842" s="8"/>
      <c r="E842" s="78"/>
      <c r="F842" s="79"/>
    </row>
    <row r="843" ht="15.75" customHeight="1">
      <c r="A843" s="8"/>
      <c r="D843" s="8"/>
      <c r="E843" s="78"/>
      <c r="F843" s="79"/>
    </row>
    <row r="844" ht="15.75" customHeight="1">
      <c r="A844" s="8"/>
      <c r="D844" s="8"/>
      <c r="E844" s="78"/>
      <c r="F844" s="79"/>
    </row>
    <row r="845" ht="15.75" customHeight="1">
      <c r="A845" s="8"/>
      <c r="D845" s="8"/>
      <c r="E845" s="78"/>
      <c r="F845" s="79"/>
    </row>
    <row r="846" ht="15.75" customHeight="1">
      <c r="A846" s="8"/>
      <c r="D846" s="8"/>
      <c r="E846" s="78"/>
      <c r="F846" s="79"/>
    </row>
    <row r="847" ht="15.75" customHeight="1">
      <c r="A847" s="8"/>
      <c r="D847" s="8"/>
      <c r="E847" s="78"/>
      <c r="F847" s="79"/>
    </row>
    <row r="848" ht="15.75" customHeight="1">
      <c r="A848" s="8"/>
      <c r="D848" s="8"/>
      <c r="E848" s="78"/>
      <c r="F848" s="79"/>
    </row>
    <row r="849" ht="15.75" customHeight="1">
      <c r="A849" s="8"/>
      <c r="D849" s="8"/>
      <c r="E849" s="78"/>
      <c r="F849" s="79"/>
    </row>
    <row r="850" ht="15.75" customHeight="1">
      <c r="A850" s="8"/>
      <c r="D850" s="8"/>
      <c r="E850" s="78"/>
      <c r="F850" s="79"/>
    </row>
    <row r="851" ht="15.75" customHeight="1">
      <c r="A851" s="8"/>
      <c r="D851" s="8"/>
      <c r="E851" s="78"/>
      <c r="F851" s="79"/>
    </row>
    <row r="852" ht="15.75" customHeight="1">
      <c r="A852" s="8"/>
      <c r="D852" s="8"/>
      <c r="E852" s="78"/>
      <c r="F852" s="79"/>
    </row>
    <row r="853" ht="15.75" customHeight="1">
      <c r="A853" s="8"/>
      <c r="D853" s="8"/>
      <c r="E853" s="78"/>
      <c r="F853" s="79"/>
    </row>
    <row r="854" ht="15.75" customHeight="1">
      <c r="A854" s="8"/>
      <c r="D854" s="8"/>
      <c r="E854" s="78"/>
      <c r="F854" s="79"/>
    </row>
    <row r="855" ht="15.75" customHeight="1">
      <c r="A855" s="8"/>
      <c r="D855" s="8"/>
      <c r="E855" s="78"/>
      <c r="F855" s="79"/>
    </row>
    <row r="856" ht="15.75" customHeight="1">
      <c r="A856" s="8"/>
      <c r="D856" s="8"/>
      <c r="E856" s="78"/>
      <c r="F856" s="79"/>
    </row>
    <row r="857" ht="15.75" customHeight="1">
      <c r="A857" s="8"/>
      <c r="D857" s="8"/>
      <c r="E857" s="78"/>
      <c r="F857" s="79"/>
    </row>
    <row r="858" ht="15.75" customHeight="1">
      <c r="A858" s="8"/>
      <c r="D858" s="8"/>
      <c r="E858" s="78"/>
      <c r="F858" s="79"/>
    </row>
    <row r="859" ht="15.75" customHeight="1">
      <c r="A859" s="8"/>
      <c r="D859" s="8"/>
      <c r="E859" s="78"/>
      <c r="F859" s="79"/>
    </row>
    <row r="860" ht="15.75" customHeight="1">
      <c r="A860" s="8"/>
      <c r="D860" s="8"/>
      <c r="E860" s="78"/>
      <c r="F860" s="79"/>
    </row>
    <row r="861" ht="15.75" customHeight="1">
      <c r="A861" s="8"/>
      <c r="D861" s="8"/>
      <c r="E861" s="78"/>
      <c r="F861" s="79"/>
    </row>
    <row r="862" ht="15.75" customHeight="1">
      <c r="A862" s="8"/>
      <c r="D862" s="8"/>
      <c r="E862" s="78"/>
      <c r="F862" s="79"/>
    </row>
    <row r="863" ht="15.75" customHeight="1">
      <c r="A863" s="8"/>
      <c r="D863" s="8"/>
      <c r="E863" s="78"/>
      <c r="F863" s="79"/>
    </row>
    <row r="864" ht="15.75" customHeight="1">
      <c r="A864" s="8"/>
      <c r="D864" s="8"/>
      <c r="E864" s="78"/>
      <c r="F864" s="79"/>
    </row>
    <row r="865" ht="15.75" customHeight="1">
      <c r="A865" s="8"/>
      <c r="D865" s="8"/>
      <c r="E865" s="78"/>
      <c r="F865" s="79"/>
    </row>
    <row r="866" ht="15.75" customHeight="1">
      <c r="A866" s="8"/>
      <c r="D866" s="8"/>
      <c r="E866" s="78"/>
      <c r="F866" s="79"/>
    </row>
    <row r="867" ht="15.75" customHeight="1">
      <c r="A867" s="8"/>
      <c r="D867" s="8"/>
      <c r="E867" s="78"/>
      <c r="F867" s="79"/>
    </row>
    <row r="868" ht="15.75" customHeight="1">
      <c r="A868" s="8"/>
      <c r="D868" s="8"/>
      <c r="E868" s="78"/>
      <c r="F868" s="79"/>
    </row>
    <row r="869" ht="15.75" customHeight="1">
      <c r="A869" s="8"/>
      <c r="D869" s="8"/>
      <c r="E869" s="78"/>
      <c r="F869" s="79"/>
    </row>
    <row r="870" ht="15.75" customHeight="1">
      <c r="A870" s="8"/>
      <c r="D870" s="8"/>
      <c r="E870" s="78"/>
      <c r="F870" s="79"/>
    </row>
    <row r="871" ht="15.75" customHeight="1">
      <c r="A871" s="8"/>
      <c r="D871" s="8"/>
      <c r="E871" s="78"/>
      <c r="F871" s="79"/>
    </row>
    <row r="872" ht="15.75" customHeight="1">
      <c r="A872" s="8"/>
      <c r="D872" s="8"/>
      <c r="E872" s="78"/>
      <c r="F872" s="79"/>
    </row>
    <row r="873" ht="15.75" customHeight="1">
      <c r="A873" s="8"/>
      <c r="D873" s="8"/>
      <c r="E873" s="78"/>
      <c r="F873" s="79"/>
    </row>
    <row r="874" ht="15.75" customHeight="1">
      <c r="A874" s="8"/>
      <c r="D874" s="8"/>
      <c r="E874" s="78"/>
      <c r="F874" s="79"/>
    </row>
    <row r="875" ht="15.75" customHeight="1">
      <c r="A875" s="8"/>
      <c r="D875" s="8"/>
      <c r="E875" s="78"/>
      <c r="F875" s="79"/>
    </row>
    <row r="876" ht="15.75" customHeight="1">
      <c r="A876" s="8"/>
      <c r="D876" s="8"/>
      <c r="E876" s="78"/>
      <c r="F876" s="79"/>
    </row>
    <row r="877" ht="15.75" customHeight="1">
      <c r="A877" s="8"/>
      <c r="D877" s="8"/>
      <c r="E877" s="78"/>
      <c r="F877" s="79"/>
    </row>
    <row r="878" ht="15.75" customHeight="1">
      <c r="A878" s="8"/>
      <c r="D878" s="8"/>
      <c r="E878" s="78"/>
      <c r="F878" s="79"/>
    </row>
    <row r="879" ht="15.75" customHeight="1">
      <c r="A879" s="8"/>
      <c r="D879" s="8"/>
      <c r="E879" s="78"/>
      <c r="F879" s="79"/>
    </row>
    <row r="880" ht="15.75" customHeight="1">
      <c r="A880" s="8"/>
      <c r="D880" s="8"/>
      <c r="E880" s="78"/>
      <c r="F880" s="79"/>
    </row>
    <row r="881" ht="15.75" customHeight="1">
      <c r="A881" s="8"/>
      <c r="D881" s="8"/>
      <c r="E881" s="78"/>
      <c r="F881" s="79"/>
    </row>
    <row r="882" ht="15.75" customHeight="1">
      <c r="A882" s="8"/>
      <c r="D882" s="8"/>
      <c r="E882" s="78"/>
      <c r="F882" s="79"/>
    </row>
    <row r="883" ht="15.75" customHeight="1">
      <c r="A883" s="8"/>
      <c r="D883" s="8"/>
      <c r="E883" s="78"/>
      <c r="F883" s="79"/>
    </row>
    <row r="884" ht="15.75" customHeight="1">
      <c r="A884" s="8"/>
      <c r="D884" s="8"/>
      <c r="E884" s="78"/>
      <c r="F884" s="79"/>
    </row>
    <row r="885" ht="15.75" customHeight="1">
      <c r="A885" s="8"/>
      <c r="D885" s="8"/>
      <c r="E885" s="78"/>
      <c r="F885" s="79"/>
    </row>
    <row r="886" ht="15.75" customHeight="1">
      <c r="A886" s="8"/>
      <c r="D886" s="8"/>
      <c r="E886" s="78"/>
      <c r="F886" s="79"/>
    </row>
    <row r="887" ht="15.75" customHeight="1">
      <c r="A887" s="8"/>
      <c r="D887" s="8"/>
      <c r="E887" s="78"/>
      <c r="F887" s="79"/>
    </row>
    <row r="888" ht="15.75" customHeight="1">
      <c r="A888" s="8"/>
      <c r="D888" s="8"/>
      <c r="E888" s="78"/>
      <c r="F888" s="79"/>
    </row>
    <row r="889" ht="15.75" customHeight="1">
      <c r="A889" s="8"/>
      <c r="D889" s="8"/>
      <c r="E889" s="78"/>
      <c r="F889" s="79"/>
    </row>
    <row r="890" ht="15.75" customHeight="1">
      <c r="A890" s="8"/>
      <c r="D890" s="8"/>
      <c r="E890" s="78"/>
      <c r="F890" s="79"/>
    </row>
    <row r="891" ht="15.75" customHeight="1">
      <c r="A891" s="8"/>
      <c r="D891" s="8"/>
      <c r="E891" s="78"/>
      <c r="F891" s="79"/>
    </row>
    <row r="892" ht="15.75" customHeight="1">
      <c r="A892" s="8"/>
      <c r="D892" s="8"/>
      <c r="E892" s="78"/>
      <c r="F892" s="79"/>
    </row>
    <row r="893" ht="15.75" customHeight="1">
      <c r="A893" s="8"/>
      <c r="D893" s="8"/>
      <c r="E893" s="78"/>
      <c r="F893" s="79"/>
    </row>
    <row r="894" ht="15.75" customHeight="1">
      <c r="A894" s="8"/>
      <c r="D894" s="8"/>
      <c r="E894" s="78"/>
      <c r="F894" s="79"/>
    </row>
    <row r="895" ht="15.75" customHeight="1">
      <c r="A895" s="8"/>
      <c r="D895" s="8"/>
      <c r="E895" s="78"/>
      <c r="F895" s="79"/>
    </row>
    <row r="896" ht="15.75" customHeight="1">
      <c r="A896" s="8"/>
      <c r="D896" s="8"/>
      <c r="E896" s="78"/>
      <c r="F896" s="79"/>
    </row>
    <row r="897" ht="15.75" customHeight="1">
      <c r="A897" s="8"/>
      <c r="D897" s="8"/>
      <c r="E897" s="78"/>
      <c r="F897" s="79"/>
    </row>
    <row r="898" ht="15.75" customHeight="1">
      <c r="A898" s="8"/>
      <c r="D898" s="8"/>
      <c r="E898" s="78"/>
      <c r="F898" s="79"/>
    </row>
    <row r="899" ht="15.75" customHeight="1">
      <c r="A899" s="8"/>
      <c r="D899" s="8"/>
      <c r="E899" s="78"/>
      <c r="F899" s="79"/>
    </row>
    <row r="900" ht="15.75" customHeight="1">
      <c r="A900" s="8"/>
      <c r="D900" s="8"/>
      <c r="E900" s="78"/>
      <c r="F900" s="79"/>
    </row>
    <row r="901" ht="15.75" customHeight="1">
      <c r="A901" s="8"/>
      <c r="D901" s="8"/>
      <c r="E901" s="78"/>
      <c r="F901" s="79"/>
    </row>
    <row r="902" ht="15.75" customHeight="1">
      <c r="A902" s="8"/>
      <c r="D902" s="8"/>
      <c r="E902" s="78"/>
      <c r="F902" s="79"/>
    </row>
    <row r="903" ht="15.75" customHeight="1">
      <c r="A903" s="8"/>
      <c r="D903" s="8"/>
      <c r="E903" s="78"/>
      <c r="F903" s="79"/>
    </row>
    <row r="904" ht="15.75" customHeight="1">
      <c r="A904" s="8"/>
      <c r="D904" s="8"/>
      <c r="E904" s="78"/>
      <c r="F904" s="79"/>
    </row>
    <row r="905" ht="15.75" customHeight="1">
      <c r="A905" s="8"/>
      <c r="D905" s="8"/>
      <c r="E905" s="78"/>
      <c r="F905" s="79"/>
    </row>
    <row r="906" ht="15.75" customHeight="1">
      <c r="A906" s="8"/>
      <c r="D906" s="8"/>
      <c r="E906" s="78"/>
      <c r="F906" s="79"/>
    </row>
    <row r="907" ht="15.75" customHeight="1">
      <c r="A907" s="8"/>
      <c r="D907" s="8"/>
      <c r="E907" s="78"/>
      <c r="F907" s="79"/>
    </row>
    <row r="908" ht="15.75" customHeight="1">
      <c r="A908" s="8"/>
      <c r="D908" s="8"/>
      <c r="E908" s="78"/>
      <c r="F908" s="79"/>
    </row>
    <row r="909" ht="15.75" customHeight="1">
      <c r="A909" s="8"/>
      <c r="D909" s="8"/>
      <c r="E909" s="78"/>
      <c r="F909" s="79"/>
    </row>
    <row r="910" ht="15.75" customHeight="1">
      <c r="A910" s="8"/>
      <c r="D910" s="8"/>
      <c r="E910" s="78"/>
      <c r="F910" s="79"/>
    </row>
    <row r="911" ht="15.75" customHeight="1">
      <c r="A911" s="8"/>
      <c r="D911" s="8"/>
      <c r="E911" s="78"/>
      <c r="F911" s="79"/>
    </row>
    <row r="912" ht="15.75" customHeight="1">
      <c r="A912" s="8"/>
      <c r="D912" s="8"/>
      <c r="E912" s="78"/>
      <c r="F912" s="79"/>
    </row>
    <row r="913" ht="15.75" customHeight="1">
      <c r="A913" s="8"/>
      <c r="D913" s="8"/>
      <c r="E913" s="78"/>
      <c r="F913" s="79"/>
    </row>
    <row r="914" ht="15.75" customHeight="1">
      <c r="A914" s="8"/>
      <c r="D914" s="8"/>
      <c r="E914" s="78"/>
      <c r="F914" s="79"/>
    </row>
    <row r="915" ht="15.75" customHeight="1">
      <c r="A915" s="8"/>
      <c r="D915" s="8"/>
      <c r="E915" s="78"/>
      <c r="F915" s="79"/>
    </row>
    <row r="916" ht="15.75" customHeight="1">
      <c r="A916" s="8"/>
      <c r="D916" s="8"/>
      <c r="E916" s="78"/>
      <c r="F916" s="79"/>
    </row>
    <row r="917" ht="15.75" customHeight="1">
      <c r="A917" s="8"/>
      <c r="D917" s="8"/>
      <c r="E917" s="78"/>
      <c r="F917" s="79"/>
    </row>
    <row r="918" ht="15.75" customHeight="1">
      <c r="A918" s="8"/>
      <c r="D918" s="8"/>
      <c r="E918" s="78"/>
      <c r="F918" s="79"/>
    </row>
    <row r="919" ht="15.75" customHeight="1">
      <c r="A919" s="8"/>
      <c r="D919" s="8"/>
      <c r="E919" s="78"/>
      <c r="F919" s="79"/>
    </row>
    <row r="920" ht="15.75" customHeight="1">
      <c r="A920" s="8"/>
      <c r="D920" s="8"/>
      <c r="E920" s="78"/>
      <c r="F920" s="79"/>
    </row>
    <row r="921" ht="15.75" customHeight="1">
      <c r="A921" s="8"/>
      <c r="D921" s="8"/>
      <c r="E921" s="78"/>
      <c r="F921" s="79"/>
    </row>
    <row r="922" ht="15.75" customHeight="1">
      <c r="A922" s="8"/>
      <c r="D922" s="8"/>
      <c r="E922" s="78"/>
      <c r="F922" s="79"/>
    </row>
    <row r="923" ht="15.75" customHeight="1">
      <c r="A923" s="8"/>
      <c r="D923" s="8"/>
      <c r="E923" s="78"/>
      <c r="F923" s="79"/>
    </row>
    <row r="924" ht="15.75" customHeight="1">
      <c r="A924" s="8"/>
      <c r="D924" s="8"/>
      <c r="E924" s="78"/>
      <c r="F924" s="79"/>
    </row>
    <row r="925" ht="15.75" customHeight="1">
      <c r="A925" s="8"/>
      <c r="D925" s="8"/>
      <c r="E925" s="78"/>
      <c r="F925" s="79"/>
    </row>
    <row r="926" ht="15.75" customHeight="1">
      <c r="A926" s="8"/>
      <c r="D926" s="8"/>
      <c r="E926" s="78"/>
      <c r="F926" s="79"/>
    </row>
    <row r="927" ht="15.75" customHeight="1">
      <c r="A927" s="8"/>
      <c r="D927" s="8"/>
      <c r="E927" s="78"/>
      <c r="F927" s="79"/>
    </row>
    <row r="928" ht="15.75" customHeight="1">
      <c r="A928" s="8"/>
      <c r="D928" s="8"/>
      <c r="E928" s="78"/>
      <c r="F928" s="79"/>
    </row>
    <row r="929" ht="15.75" customHeight="1">
      <c r="A929" s="8"/>
      <c r="D929" s="8"/>
      <c r="E929" s="78"/>
      <c r="F929" s="79"/>
    </row>
    <row r="930" ht="15.75" customHeight="1">
      <c r="A930" s="8"/>
      <c r="D930" s="8"/>
      <c r="E930" s="78"/>
      <c r="F930" s="79"/>
    </row>
    <row r="931" ht="15.75" customHeight="1">
      <c r="A931" s="8"/>
      <c r="D931" s="8"/>
      <c r="E931" s="78"/>
      <c r="F931" s="79"/>
    </row>
    <row r="932" ht="15.75" customHeight="1">
      <c r="A932" s="8"/>
      <c r="D932" s="8"/>
      <c r="E932" s="78"/>
      <c r="F932" s="79"/>
    </row>
    <row r="933" ht="15.75" customHeight="1">
      <c r="A933" s="8"/>
      <c r="D933" s="8"/>
      <c r="E933" s="78"/>
      <c r="F933" s="79"/>
    </row>
    <row r="934" ht="15.75" customHeight="1">
      <c r="A934" s="8"/>
      <c r="D934" s="8"/>
      <c r="E934" s="78"/>
      <c r="F934" s="79"/>
    </row>
    <row r="935" ht="15.75" customHeight="1">
      <c r="A935" s="8"/>
      <c r="D935" s="8"/>
      <c r="E935" s="78"/>
      <c r="F935" s="79"/>
    </row>
    <row r="936" ht="15.75" customHeight="1">
      <c r="A936" s="8"/>
      <c r="D936" s="8"/>
      <c r="E936" s="78"/>
      <c r="F936" s="79"/>
    </row>
    <row r="937" ht="15.75" customHeight="1">
      <c r="A937" s="8"/>
      <c r="D937" s="8"/>
      <c r="E937" s="78"/>
      <c r="F937" s="79"/>
    </row>
    <row r="938" ht="15.75" customHeight="1">
      <c r="A938" s="8"/>
      <c r="D938" s="8"/>
      <c r="E938" s="78"/>
      <c r="F938" s="79"/>
    </row>
    <row r="939" ht="15.75" customHeight="1">
      <c r="A939" s="8"/>
      <c r="D939" s="8"/>
      <c r="E939" s="78"/>
      <c r="F939" s="79"/>
    </row>
    <row r="940" ht="15.75" customHeight="1">
      <c r="A940" s="8"/>
      <c r="D940" s="8"/>
      <c r="E940" s="78"/>
      <c r="F940" s="79"/>
    </row>
    <row r="941" ht="15.75" customHeight="1">
      <c r="A941" s="8"/>
      <c r="D941" s="8"/>
      <c r="E941" s="78"/>
      <c r="F941" s="79"/>
    </row>
    <row r="942" ht="15.75" customHeight="1">
      <c r="A942" s="8"/>
      <c r="D942" s="8"/>
      <c r="E942" s="78"/>
      <c r="F942" s="79"/>
    </row>
    <row r="943" ht="15.75" customHeight="1">
      <c r="A943" s="8"/>
      <c r="D943" s="8"/>
      <c r="E943" s="78"/>
      <c r="F943" s="79"/>
    </row>
    <row r="944" ht="15.75" customHeight="1">
      <c r="A944" s="8"/>
      <c r="D944" s="8"/>
      <c r="E944" s="78"/>
      <c r="F944" s="79"/>
    </row>
    <row r="945" ht="15.75" customHeight="1">
      <c r="A945" s="8"/>
      <c r="D945" s="8"/>
      <c r="E945" s="78"/>
      <c r="F945" s="79"/>
    </row>
    <row r="946" ht="15.75" customHeight="1">
      <c r="A946" s="8"/>
      <c r="D946" s="8"/>
      <c r="E946" s="78"/>
      <c r="F946" s="79"/>
    </row>
    <row r="947" ht="15.75" customHeight="1">
      <c r="A947" s="8"/>
      <c r="D947" s="8"/>
      <c r="E947" s="78"/>
      <c r="F947" s="79"/>
    </row>
    <row r="948" ht="15.75" customHeight="1">
      <c r="A948" s="8"/>
      <c r="D948" s="8"/>
      <c r="E948" s="78"/>
      <c r="F948" s="79"/>
    </row>
    <row r="949" ht="15.75" customHeight="1">
      <c r="A949" s="8"/>
      <c r="D949" s="8"/>
      <c r="E949" s="78"/>
      <c r="F949" s="79"/>
    </row>
    <row r="950" ht="15.75" customHeight="1">
      <c r="A950" s="8"/>
      <c r="D950" s="8"/>
      <c r="E950" s="78"/>
      <c r="F950" s="79"/>
    </row>
    <row r="951" ht="15.75" customHeight="1">
      <c r="A951" s="8"/>
      <c r="D951" s="8"/>
      <c r="E951" s="78"/>
      <c r="F951" s="79"/>
    </row>
    <row r="952" ht="15.75" customHeight="1">
      <c r="A952" s="8"/>
      <c r="D952" s="8"/>
      <c r="E952" s="78"/>
      <c r="F952" s="79"/>
    </row>
    <row r="953" ht="15.75" customHeight="1">
      <c r="A953" s="8"/>
      <c r="D953" s="8"/>
      <c r="E953" s="78"/>
      <c r="F953" s="79"/>
    </row>
    <row r="954" ht="15.75" customHeight="1">
      <c r="A954" s="8"/>
      <c r="D954" s="8"/>
      <c r="E954" s="78"/>
      <c r="F954" s="79"/>
    </row>
    <row r="955" ht="15.75" customHeight="1">
      <c r="A955" s="8"/>
      <c r="D955" s="8"/>
      <c r="E955" s="78"/>
      <c r="F955" s="79"/>
    </row>
    <row r="956" ht="15.75" customHeight="1">
      <c r="A956" s="8"/>
      <c r="D956" s="8"/>
      <c r="E956" s="78"/>
      <c r="F956" s="79"/>
    </row>
    <row r="957" ht="15.75" customHeight="1">
      <c r="A957" s="8"/>
      <c r="D957" s="8"/>
      <c r="E957" s="78"/>
      <c r="F957" s="79"/>
    </row>
    <row r="958" ht="15.75" customHeight="1">
      <c r="A958" s="8"/>
      <c r="D958" s="8"/>
      <c r="E958" s="78"/>
      <c r="F958" s="79"/>
    </row>
    <row r="959" ht="15.75" customHeight="1">
      <c r="A959" s="8"/>
      <c r="D959" s="8"/>
      <c r="E959" s="78"/>
      <c r="F959" s="79"/>
    </row>
    <row r="960" ht="15.75" customHeight="1">
      <c r="A960" s="8"/>
      <c r="D960" s="8"/>
      <c r="E960" s="78"/>
      <c r="F960" s="79"/>
    </row>
    <row r="961" ht="15.75" customHeight="1">
      <c r="A961" s="8"/>
      <c r="D961" s="8"/>
      <c r="E961" s="78"/>
      <c r="F961" s="79"/>
    </row>
    <row r="962" ht="15.75" customHeight="1">
      <c r="A962" s="8"/>
      <c r="D962" s="8"/>
      <c r="E962" s="78"/>
      <c r="F962" s="79"/>
    </row>
    <row r="963" ht="15.75" customHeight="1">
      <c r="A963" s="8"/>
      <c r="D963" s="8"/>
      <c r="E963" s="78"/>
      <c r="F963" s="79"/>
    </row>
    <row r="964" ht="15.75" customHeight="1">
      <c r="A964" s="8"/>
      <c r="D964" s="8"/>
      <c r="E964" s="78"/>
      <c r="F964" s="79"/>
    </row>
    <row r="965" ht="15.75" customHeight="1">
      <c r="A965" s="8"/>
      <c r="D965" s="8"/>
      <c r="E965" s="78"/>
      <c r="F965" s="79"/>
    </row>
    <row r="966" ht="15.75" customHeight="1">
      <c r="A966" s="8"/>
      <c r="D966" s="8"/>
      <c r="E966" s="78"/>
      <c r="F966" s="79"/>
    </row>
    <row r="967" ht="15.75" customHeight="1">
      <c r="A967" s="8"/>
      <c r="D967" s="8"/>
      <c r="E967" s="78"/>
      <c r="F967" s="79"/>
    </row>
    <row r="968" ht="15.75" customHeight="1">
      <c r="A968" s="8"/>
      <c r="D968" s="8"/>
      <c r="E968" s="78"/>
      <c r="F968" s="79"/>
    </row>
    <row r="969" ht="15.75" customHeight="1">
      <c r="A969" s="8"/>
      <c r="D969" s="8"/>
      <c r="E969" s="78"/>
      <c r="F969" s="79"/>
    </row>
    <row r="970" ht="15.75" customHeight="1">
      <c r="A970" s="8"/>
      <c r="D970" s="8"/>
      <c r="E970" s="78"/>
      <c r="F970" s="79"/>
    </row>
    <row r="971" ht="15.75" customHeight="1">
      <c r="A971" s="8"/>
      <c r="D971" s="8"/>
      <c r="E971" s="78"/>
      <c r="F971" s="79"/>
    </row>
    <row r="972" ht="15.75" customHeight="1">
      <c r="A972" s="8"/>
      <c r="D972" s="8"/>
      <c r="E972" s="78"/>
      <c r="F972" s="79"/>
    </row>
    <row r="973" ht="15.75" customHeight="1">
      <c r="A973" s="8"/>
      <c r="D973" s="8"/>
      <c r="E973" s="78"/>
      <c r="F973" s="79"/>
    </row>
    <row r="974" ht="15.75" customHeight="1">
      <c r="A974" s="8"/>
      <c r="D974" s="8"/>
      <c r="E974" s="78"/>
      <c r="F974" s="79"/>
    </row>
    <row r="975" ht="15.75" customHeight="1">
      <c r="A975" s="8"/>
      <c r="D975" s="8"/>
      <c r="E975" s="78"/>
      <c r="F975" s="79"/>
    </row>
    <row r="976" ht="15.75" customHeight="1">
      <c r="A976" s="8"/>
      <c r="D976" s="8"/>
      <c r="E976" s="78"/>
      <c r="F976" s="79"/>
    </row>
    <row r="977" ht="15.75" customHeight="1">
      <c r="A977" s="8"/>
      <c r="D977" s="8"/>
      <c r="E977" s="78"/>
      <c r="F977" s="79"/>
    </row>
    <row r="978" ht="15.75" customHeight="1">
      <c r="A978" s="8"/>
      <c r="D978" s="8"/>
      <c r="E978" s="78"/>
      <c r="F978" s="79"/>
    </row>
    <row r="979" ht="15.75" customHeight="1">
      <c r="A979" s="8"/>
      <c r="D979" s="8"/>
      <c r="E979" s="78"/>
      <c r="F979" s="79"/>
    </row>
    <row r="980" ht="15.75" customHeight="1">
      <c r="A980" s="8"/>
      <c r="D980" s="8"/>
      <c r="E980" s="78"/>
      <c r="F980" s="79"/>
    </row>
    <row r="981" ht="15.75" customHeight="1">
      <c r="A981" s="8"/>
      <c r="D981" s="8"/>
      <c r="E981" s="78"/>
      <c r="F981" s="79"/>
    </row>
    <row r="982" ht="15.75" customHeight="1">
      <c r="A982" s="8"/>
      <c r="D982" s="8"/>
      <c r="E982" s="78"/>
      <c r="F982" s="79"/>
    </row>
    <row r="983" ht="15.75" customHeight="1">
      <c r="A983" s="8"/>
      <c r="D983" s="8"/>
      <c r="E983" s="78"/>
      <c r="F983" s="79"/>
    </row>
    <row r="984" ht="15.75" customHeight="1">
      <c r="A984" s="8"/>
      <c r="D984" s="8"/>
      <c r="E984" s="78"/>
      <c r="F984" s="79"/>
    </row>
    <row r="985" ht="15.75" customHeight="1">
      <c r="A985" s="8"/>
      <c r="D985" s="8"/>
      <c r="E985" s="78"/>
      <c r="F985" s="79"/>
    </row>
    <row r="986" ht="15.75" customHeight="1">
      <c r="A986" s="8"/>
      <c r="D986" s="8"/>
      <c r="E986" s="78"/>
      <c r="F986" s="79"/>
    </row>
    <row r="987" ht="15.75" customHeight="1">
      <c r="A987" s="8"/>
      <c r="D987" s="8"/>
      <c r="E987" s="78"/>
      <c r="F987" s="79"/>
    </row>
    <row r="988" ht="15.75" customHeight="1">
      <c r="A988" s="8"/>
      <c r="D988" s="8"/>
      <c r="E988" s="78"/>
      <c r="F988" s="79"/>
    </row>
    <row r="989" ht="15.75" customHeight="1">
      <c r="A989" s="8"/>
      <c r="D989" s="8"/>
      <c r="E989" s="78"/>
      <c r="F989" s="79"/>
    </row>
    <row r="990" ht="15.75" customHeight="1">
      <c r="A990" s="8"/>
      <c r="D990" s="8"/>
      <c r="E990" s="78"/>
      <c r="F990" s="79"/>
    </row>
    <row r="991" ht="15.75" customHeight="1">
      <c r="A991" s="8"/>
      <c r="D991" s="8"/>
      <c r="E991" s="78"/>
      <c r="F991" s="79"/>
    </row>
    <row r="992" ht="15.75" customHeight="1">
      <c r="A992" s="8"/>
      <c r="D992" s="8"/>
      <c r="E992" s="78"/>
      <c r="F992" s="79"/>
    </row>
    <row r="993" ht="15.75" customHeight="1">
      <c r="A993" s="8"/>
      <c r="D993" s="8"/>
      <c r="E993" s="78"/>
      <c r="F993" s="79"/>
    </row>
    <row r="994" ht="15.75" customHeight="1">
      <c r="A994" s="8"/>
      <c r="D994" s="8"/>
      <c r="E994" s="78"/>
      <c r="F994" s="79"/>
    </row>
    <row r="995" ht="15.75" customHeight="1">
      <c r="A995" s="8"/>
      <c r="D995" s="8"/>
      <c r="E995" s="78"/>
      <c r="F995" s="79"/>
    </row>
    <row r="996" ht="15.75" customHeight="1">
      <c r="A996" s="8"/>
      <c r="D996" s="8"/>
      <c r="E996" s="78"/>
      <c r="F996" s="79"/>
    </row>
    <row r="997" ht="15.75" customHeight="1">
      <c r="A997" s="8"/>
      <c r="D997" s="8"/>
      <c r="E997" s="78"/>
      <c r="F997" s="79"/>
    </row>
    <row r="998" ht="15.75" customHeight="1">
      <c r="A998" s="8"/>
      <c r="D998" s="8"/>
      <c r="E998" s="78"/>
      <c r="F998" s="79"/>
    </row>
    <row r="999" ht="15.75" customHeight="1">
      <c r="A999" s="8"/>
      <c r="D999" s="8"/>
      <c r="E999" s="78"/>
      <c r="F999" s="79"/>
    </row>
    <row r="1000" ht="15.75" customHeight="1">
      <c r="A1000" s="8"/>
      <c r="D1000" s="8"/>
      <c r="E1000" s="78"/>
      <c r="F1000" s="79"/>
    </row>
  </sheetData>
  <autoFilter ref="$C$1:$C$480">
    <filterColumn colId="0">
      <filters>
        <filter val="Dado que puede no existir un conjunto de datos de prueba adecuado, podría ocurrir que el sistema se valide con información poco representativa, lo que conduciría a errores no detectados hasta etapas tardías."/>
        <filter val="Dado que el proyecto depende del uso de herramientas gratuitas podría ocurrir la limitación en la capacidad o disponibilidad de dichas plataformas lo que conduciría a dificultades para coordinar tareas y perdida de información critica"/>
        <filter val="Dada la posible ausencia de algún integrante del grupo, podría ocurrir que ciertas tareas queden sin responsable, lo que conduciría a sobrecarga de trabajo para el resto del equipo y retrasos en entregas."/>
      </filters>
    </filterColumn>
  </autoFilter>
  <printOptions/>
  <pageMargins bottom="0.75" footer="0.0" header="0.0" left="0.7" right="0.7" top="1.1770833333333333"/>
  <pageSetup paperSize="9" orientation="landscape"/>
  <headerFooter>
    <oddHeader>&amp;CGestión de Riesgos &amp;A Nombre del Proyecto Iteración N° X, fase X</oddHeader>
  </headerFooter>
  <drawing r:id="rId1"/>
</worksheet>
</file>