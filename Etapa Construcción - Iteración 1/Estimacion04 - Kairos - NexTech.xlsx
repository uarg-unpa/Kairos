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NIVERSIDAD\Laboratorio de Desarrollo de Software\Estimaciones\Estimación04\"/>
    </mc:Choice>
  </mc:AlternateContent>
  <xr:revisionPtr revIDLastSave="0" documentId="13_ncr:1_{413DFE57-9697-4FF9-80C3-5C738AF8DE9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stimacion04" sheetId="1" r:id="rId1"/>
    <sheet name="Estimacion04 (Optimista)" sheetId="4" r:id="rId2"/>
    <sheet name="Estimacion04 (Pesimista)" sheetId="5" r:id="rId3"/>
  </sheets>
  <definedNames>
    <definedName name="solver_eng" localSheetId="0">1</definedName>
    <definedName name="solver_eng" localSheetId="1">1</definedName>
    <definedName name="solver_eng" localSheetId="2">1</definedName>
    <definedName name="solver_neg" localSheetId="0">1</definedName>
    <definedName name="solver_neg" localSheetId="1">1</definedName>
    <definedName name="solver_neg" localSheetId="2">1</definedName>
    <definedName name="solver_num" localSheetId="0">0</definedName>
    <definedName name="solver_num" localSheetId="1">0</definedName>
    <definedName name="solver_num" localSheetId="2">0</definedName>
    <definedName name="solver_opt" localSheetId="0">Estimacion04!$D$72</definedName>
    <definedName name="solver_opt" localSheetId="1">'Estimacion04 (Optimista)'!$D$69</definedName>
    <definedName name="solver_opt" localSheetId="2">'Estimacion04 (Pesimista)'!$D$69</definedName>
    <definedName name="solver_typ" localSheetId="0">1</definedName>
    <definedName name="solver_typ" localSheetId="1">1</definedName>
    <definedName name="solver_typ" localSheetId="2">1</definedName>
    <definedName name="solver_val" localSheetId="0">0</definedName>
    <definedName name="solver_val" localSheetId="1">0</definedName>
    <definedName name="solver_val" localSheetId="2">0</definedName>
    <definedName name="solver_ver" localSheetId="0">3</definedName>
    <definedName name="solver_ver" localSheetId="1">3</definedName>
    <definedName name="solver_ver" localSheetId="2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s54X7NFLcJJ76RGdM6YaLKO1pFzKsOQgwQ7eQmZd6U="/>
    </ext>
  </extLst>
</workbook>
</file>

<file path=xl/calcChain.xml><?xml version="1.0" encoding="utf-8"?>
<calcChain xmlns="http://schemas.openxmlformats.org/spreadsheetml/2006/main">
  <c r="C85" i="5" l="1"/>
  <c r="C84" i="5"/>
  <c r="C79" i="5"/>
  <c r="C78" i="5"/>
  <c r="G62" i="5"/>
  <c r="D69" i="5" s="1"/>
  <c r="G60" i="5"/>
  <c r="G61" i="5" s="1"/>
  <c r="G47" i="5"/>
  <c r="G48" i="5" s="1"/>
  <c r="F27" i="5"/>
  <c r="G12" i="5"/>
  <c r="F30" i="5" s="1"/>
  <c r="C84" i="4"/>
  <c r="C85" i="4" s="1"/>
  <c r="C78" i="4"/>
  <c r="C79" i="4" s="1"/>
  <c r="G62" i="4"/>
  <c r="D69" i="4" s="1"/>
  <c r="G60" i="4"/>
  <c r="G61" i="4" s="1"/>
  <c r="G47" i="4"/>
  <c r="G48" i="4" s="1"/>
  <c r="F27" i="4"/>
  <c r="G12" i="4"/>
  <c r="C81" i="1"/>
  <c r="F30" i="4" l="1"/>
  <c r="G65" i="4" s="1"/>
  <c r="G65" i="5"/>
  <c r="C69" i="5"/>
  <c r="C69" i="4"/>
  <c r="C82" i="1"/>
  <c r="C87" i="1"/>
  <c r="G65" i="1"/>
  <c r="D72" i="1" s="1"/>
  <c r="B71" i="4" l="1"/>
  <c r="B72" i="4" s="1"/>
  <c r="D71" i="4"/>
  <c r="F77" i="4" s="1"/>
  <c r="C71" i="4"/>
  <c r="C72" i="4" s="1"/>
  <c r="C71" i="5"/>
  <c r="B71" i="5"/>
  <c r="D71" i="5"/>
  <c r="G63" i="1"/>
  <c r="G64" i="1" s="1"/>
  <c r="G12" i="1"/>
  <c r="G50" i="1"/>
  <c r="G51" i="1" s="1"/>
  <c r="F30" i="1"/>
  <c r="C88" i="1"/>
  <c r="C72" i="1"/>
  <c r="D77" i="4" l="1"/>
  <c r="D72" i="4"/>
  <c r="F85" i="4" s="1"/>
  <c r="D90" i="4" s="1"/>
  <c r="E77" i="4"/>
  <c r="E78" i="4" s="1"/>
  <c r="D72" i="5"/>
  <c r="F77" i="5"/>
  <c r="B72" i="5"/>
  <c r="D77" i="5"/>
  <c r="E77" i="5"/>
  <c r="C72" i="5"/>
  <c r="D83" i="4"/>
  <c r="D84" i="4"/>
  <c r="D85" i="4"/>
  <c r="B90" i="4" s="1"/>
  <c r="D78" i="4"/>
  <c r="D79" i="4" s="1"/>
  <c r="F78" i="4"/>
  <c r="F79" i="4" s="1"/>
  <c r="E83" i="4"/>
  <c r="E84" i="4"/>
  <c r="E85" i="4"/>
  <c r="C90" i="4" s="1"/>
  <c r="F33" i="1"/>
  <c r="G68" i="1" s="1"/>
  <c r="F83" i="4" l="1"/>
  <c r="F84" i="4"/>
  <c r="E79" i="4"/>
  <c r="F78" i="5"/>
  <c r="F79" i="5" s="1"/>
  <c r="F83" i="5"/>
  <c r="F84" i="5"/>
  <c r="F85" i="5"/>
  <c r="D90" i="5" s="1"/>
  <c r="E83" i="5"/>
  <c r="E84" i="5"/>
  <c r="E85" i="5"/>
  <c r="C90" i="5" s="1"/>
  <c r="E78" i="5"/>
  <c r="E79" i="5" s="1"/>
  <c r="D83" i="5"/>
  <c r="D84" i="5"/>
  <c r="D85" i="5"/>
  <c r="B90" i="5" s="1"/>
  <c r="D78" i="5"/>
  <c r="D79" i="5" s="1"/>
  <c r="C74" i="1"/>
  <c r="B74" i="1"/>
  <c r="D74" i="1"/>
  <c r="B75" i="1" l="1"/>
  <c r="D86" i="1" s="1"/>
  <c r="D80" i="1"/>
  <c r="D81" i="1" s="1"/>
  <c r="D82" i="1" s="1"/>
  <c r="D75" i="1"/>
  <c r="F88" i="1" s="1"/>
  <c r="D93" i="1" s="1"/>
  <c r="F80" i="1"/>
  <c r="C75" i="1"/>
  <c r="E80" i="1"/>
  <c r="F86" i="1" l="1"/>
  <c r="E81" i="1"/>
  <c r="E82" i="1" s="1"/>
  <c r="E88" i="1"/>
  <c r="C93" i="1" s="1"/>
  <c r="E86" i="1"/>
  <c r="E87" i="1"/>
  <c r="F81" i="1"/>
  <c r="F82" i="1" s="1"/>
  <c r="F87" i="1"/>
  <c r="D87" i="1"/>
  <c r="D88" i="1"/>
  <c r="B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7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ID#AAAA4EXGEXg
Autor    (2023-08-29 20:18:46)
¿Arquitectura centralizada o distribuida?</t>
        </r>
      </text>
    </comment>
    <comment ref="B38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ID#AAAA4EXGEYo
Autor    (2023-08-29 20:18:46)
¿Cuál es la importancia del tiempo de respuesta de la aplicación para el usuario final?</t>
        </r>
      </text>
    </comment>
    <comment ref="B39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40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ID#AAAA4EXGEXQ
Autor    (2023-08-29 20:18:46)
¿La aplicación requiere de algoritmos complejos?</t>
        </r>
      </text>
    </comment>
    <comment ref="B4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ID#AAAA4EXGEYQ
Autor    (2023-08-29 20:18:46)
¿La aplicación requiere diseñarse para ser altamente reusable?</t>
        </r>
      </text>
    </comment>
    <comment ref="B42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3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======
ID#AAAA4EXGEYY
Autor    (2023-08-29 20:18:46)
¿Hay requerimientos especiales respecto de la facilidad de uso?</t>
        </r>
      </text>
    </comment>
    <comment ref="B44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======
ID#AAAA4EXGEYw
Autor    (2023-08-29 20:18:46)
¿La aplicación, debe funcionar en más de una plataforma?</t>
        </r>
      </text>
    </comment>
    <comment ref="B45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======
ID#AAAA4EXGEYg
Autor    (2023-08-29 20:18:46)
¿El cliente requiere que la aplicación se pueda cambiar fácilmente en el futuro?</t>
        </r>
      </text>
    </comment>
    <comment ref="B46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7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======
ID#AAAA4EXGEXs
Autor    (2023-08-29 20:18:46)
¿Es suficiente con las prestaciones de seguridad normales, o hace falta algo especial?</t>
        </r>
      </text>
    </comment>
    <comment ref="B48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9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======
ID#AAAA4EXGEYs
Autor    (2023-08-29 20:18:46)
¿Se requiere formación específica para los Usuarios?</t>
        </r>
      </text>
    </comment>
    <comment ref="B55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6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======
ID#AAAA4EXGEX8
Autor    (2023-08-29 20:18:46)
¿Ya trabajado el equipo en el area (dominio) de la aplicación?</t>
        </r>
      </text>
    </comment>
    <comment ref="B57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8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9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======
ID#AAAA4EXGEXo
Autor    (2023-08-29 20:18:46)
Motivación del equipo.</t>
        </r>
      </text>
    </comment>
    <comment ref="B60" authorId="0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1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2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2" authorId="0" shapeId="0" xr:uid="{00000000-0006-0000-0000-000018000000}">
      <text>
        <r>
          <rPr>
            <sz val="10"/>
            <color rgb="FF000000"/>
            <rFont val="Arial"/>
            <family val="2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8" authorId="0" shapeId="0" xr:uid="{00000000-0006-0000-0000-000019000000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1" authorId="0" shapeId="0" xr:uid="{00000000-0006-0000-0000-00001A000000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84" authorId="0" shapeId="0" xr:uid="{00000000-0006-0000-0000-00001B000000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7" authorId="0" shapeId="0" xr:uid="{00000000-0006-0000-0000-00001C000000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90" authorId="0" shapeId="0" xr:uid="{00000000-0006-0000-0000-00001D000000}">
      <text>
        <r>
          <rPr>
            <sz val="10"/>
            <color rgb="FF000000"/>
            <rFont val="Arial"/>
            <family val="2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RtrpRPhskmwylDfdNk2hbXE5d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18EB2EB8-0905-47B6-8D0E-174CAE944579}">
      <text>
        <r>
          <rPr>
            <sz val="10"/>
            <color rgb="FF000000"/>
            <rFont val="Arial"/>
            <family val="2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5" authorId="0" shapeId="0" xr:uid="{C624A565-BCD1-4C4C-B4CD-507BB6BFB69D}">
      <text>
        <r>
          <rPr>
            <sz val="10"/>
            <color rgb="FF000000"/>
            <rFont val="Arial"/>
            <family val="2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4" authorId="0" shapeId="0" xr:uid="{20ECDCD4-BF8E-4C8A-B5CD-0618F2942268}">
      <text>
        <r>
          <rPr>
            <sz val="10"/>
            <color rgb="FF000000"/>
            <rFont val="Arial"/>
            <family val="2"/>
            <scheme val="minor"/>
          </rPr>
          <t>======
ID#AAAA4EXGEXg
Autor    (2023-08-29 20:18:46)
¿Arquitectura centralizada o distribuida?</t>
        </r>
      </text>
    </comment>
    <comment ref="B35" authorId="0" shapeId="0" xr:uid="{A43557CE-AC88-4A00-AEE8-918F0A9694F2}">
      <text>
        <r>
          <rPr>
            <sz val="10"/>
            <color rgb="FF000000"/>
            <rFont val="Arial"/>
            <family val="2"/>
            <scheme val="minor"/>
          </rPr>
          <t>======
ID#AAAA4EXGEYo
Autor    (2023-08-29 20:18:46)
¿Cuál es la importancia del tiempo de respuesta de la aplicación para el usuario final?</t>
        </r>
      </text>
    </comment>
    <comment ref="B36" authorId="0" shapeId="0" xr:uid="{E7D86D45-0789-4641-91C7-3CDD10F80A8A}">
      <text>
        <r>
          <rPr>
            <sz val="10"/>
            <color rgb="FF000000"/>
            <rFont val="Arial"/>
            <family val="2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7" authorId="0" shapeId="0" xr:uid="{BF309FDC-3EF4-4072-9FF4-87EDD82771B0}">
      <text>
        <r>
          <rPr>
            <sz val="10"/>
            <color rgb="FF000000"/>
            <rFont val="Arial"/>
            <family val="2"/>
            <scheme val="minor"/>
          </rPr>
          <t>======
ID#AAAA4EXGEXQ
Autor    (2023-08-29 20:18:46)
¿La aplicación requiere de algoritmos complejos?</t>
        </r>
      </text>
    </comment>
    <comment ref="B38" authorId="0" shapeId="0" xr:uid="{70F7E828-7E83-4927-8725-2F30649A5B27}">
      <text>
        <r>
          <rPr>
            <sz val="10"/>
            <color rgb="FF000000"/>
            <rFont val="Arial"/>
            <family val="2"/>
            <scheme val="minor"/>
          </rPr>
          <t>======
ID#AAAA4EXGEYQ
Autor    (2023-08-29 20:18:46)
¿La aplicación requiere diseñarse para ser altamente reusable?</t>
        </r>
      </text>
    </comment>
    <comment ref="B39" authorId="0" shapeId="0" xr:uid="{7A2389B9-B0A0-4D6A-A4F9-5A8E84E4939A}">
      <text>
        <r>
          <rPr>
            <sz val="10"/>
            <color rgb="FF000000"/>
            <rFont val="Arial"/>
            <family val="2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0" authorId="0" shapeId="0" xr:uid="{0E49A138-53BC-4FA1-9F36-E94E3334AA71}">
      <text>
        <r>
          <rPr>
            <sz val="10"/>
            <color rgb="FF000000"/>
            <rFont val="Arial"/>
            <family val="2"/>
            <scheme val="minor"/>
          </rPr>
          <t>======
ID#AAAA4EXGEYY
Autor    (2023-08-29 20:18:46)
¿Hay requerimientos especiales respecto de la facilidad de uso?</t>
        </r>
      </text>
    </comment>
    <comment ref="B41" authorId="0" shapeId="0" xr:uid="{412B11CA-897D-4731-8DAF-6C260BD36ACC}">
      <text>
        <r>
          <rPr>
            <sz val="10"/>
            <color rgb="FF000000"/>
            <rFont val="Arial"/>
            <family val="2"/>
            <scheme val="minor"/>
          </rPr>
          <t>======
ID#AAAA4EXGEYw
Autor    (2023-08-29 20:18:46)
¿La aplicación, debe funcionar en más de una plataforma?</t>
        </r>
      </text>
    </comment>
    <comment ref="B42" authorId="0" shapeId="0" xr:uid="{33647DB8-6DCC-4328-8BFF-C02BABF07B50}">
      <text>
        <r>
          <rPr>
            <sz val="10"/>
            <color rgb="FF000000"/>
            <rFont val="Arial"/>
            <family val="2"/>
            <scheme val="minor"/>
          </rPr>
          <t>======
ID#AAAA4EXGEYg
Autor    (2023-08-29 20:18:46)
¿El cliente requiere que la aplicación se pueda cambiar fácilmente en el futuro?</t>
        </r>
      </text>
    </comment>
    <comment ref="B43" authorId="0" shapeId="0" xr:uid="{9375CBC5-488C-4E37-9B6D-05A1EAFBAB41}">
      <text>
        <r>
          <rPr>
            <sz val="10"/>
            <color rgb="FF000000"/>
            <rFont val="Arial"/>
            <family val="2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4" authorId="0" shapeId="0" xr:uid="{279B98CD-31D8-4993-8F55-ACB029D0B92B}">
      <text>
        <r>
          <rPr>
            <sz val="10"/>
            <color rgb="FF000000"/>
            <rFont val="Arial"/>
            <family val="2"/>
            <scheme val="minor"/>
          </rPr>
          <t>======
ID#AAAA4EXGEXs
Autor    (2023-08-29 20:18:46)
¿Es suficiente con las prestaciones de seguridad normales, o hace falta algo especial?</t>
        </r>
      </text>
    </comment>
    <comment ref="B45" authorId="0" shapeId="0" xr:uid="{F869853D-D87A-4CAE-AB21-14315DC27DC5}">
      <text>
        <r>
          <rPr>
            <sz val="10"/>
            <color rgb="FF000000"/>
            <rFont val="Arial"/>
            <family val="2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6" authorId="0" shapeId="0" xr:uid="{B64A72F3-9E3C-4BC2-A5D0-3294B73DAB54}">
      <text>
        <r>
          <rPr>
            <sz val="10"/>
            <color rgb="FF000000"/>
            <rFont val="Arial"/>
            <family val="2"/>
            <scheme val="minor"/>
          </rPr>
          <t>======
ID#AAAA4EXGEYs
Autor    (2023-08-29 20:18:46)
¿Se requiere formación específica para los Usuarios?</t>
        </r>
      </text>
    </comment>
    <comment ref="B52" authorId="0" shapeId="0" xr:uid="{C225FF5D-454C-4501-ABEE-99661663A120}">
      <text>
        <r>
          <rPr>
            <sz val="10"/>
            <color rgb="FF000000"/>
            <rFont val="Arial"/>
            <family val="2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3" authorId="0" shapeId="0" xr:uid="{9368CC6B-D982-4D40-95A4-DC3C56392E3F}">
      <text>
        <r>
          <rPr>
            <sz val="10"/>
            <color rgb="FF000000"/>
            <rFont val="Arial"/>
            <family val="2"/>
            <scheme val="minor"/>
          </rPr>
          <t>======
ID#AAAA4EXGEX8
Autor    (2023-08-29 20:18:46)
¿Ya trabajado el equipo en el area (dominio) de la aplicación?</t>
        </r>
      </text>
    </comment>
    <comment ref="B54" authorId="0" shapeId="0" xr:uid="{D7D32A6A-9B74-43DC-80AA-A40DD396C19C}">
      <text>
        <r>
          <rPr>
            <sz val="10"/>
            <color rgb="FF000000"/>
            <rFont val="Arial"/>
            <family val="2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5" authorId="0" shapeId="0" xr:uid="{3962BE08-5D8C-4301-9F22-456474745BD4}">
      <text>
        <r>
          <rPr>
            <sz val="10"/>
            <color rgb="FF000000"/>
            <rFont val="Arial"/>
            <family val="2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6" authorId="0" shapeId="0" xr:uid="{A2CC8861-E5A4-406D-98BD-44041EB904CE}">
      <text>
        <r>
          <rPr>
            <sz val="10"/>
            <color rgb="FF000000"/>
            <rFont val="Arial"/>
            <family val="2"/>
            <scheme val="minor"/>
          </rPr>
          <t>======
ID#AAAA4EXGEXo
Autor    (2023-08-29 20:18:46)
Motivación del equipo.</t>
        </r>
      </text>
    </comment>
    <comment ref="B57" authorId="0" shapeId="0" xr:uid="{2598E511-CA75-4BF0-9A22-AD01E73FDEF8}">
      <text>
        <r>
          <rPr>
            <sz val="10"/>
            <color rgb="FF000000"/>
            <rFont val="Arial"/>
            <family val="2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8" authorId="0" shapeId="0" xr:uid="{0C65105A-63A4-4274-9575-5E6AA767F655}">
      <text>
        <r>
          <rPr>
            <sz val="10"/>
            <color rgb="FF000000"/>
            <rFont val="Arial"/>
            <family val="2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9" authorId="0" shapeId="0" xr:uid="{E251918E-BC63-4EFD-ACD6-1197E68F0263}">
      <text>
        <r>
          <rPr>
            <sz val="10"/>
            <color rgb="FF000000"/>
            <rFont val="Arial"/>
            <family val="2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9" authorId="0" shapeId="0" xr:uid="{CFE7AD21-6D74-4549-90BA-A3D33D7ADBCE}">
      <text>
        <r>
          <rPr>
            <sz val="10"/>
            <color rgb="FF000000"/>
            <rFont val="Arial"/>
            <family val="2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5" authorId="0" shapeId="0" xr:uid="{E8D248A9-CB72-4B76-AA5D-A70D2E2E6804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8" authorId="0" shapeId="0" xr:uid="{2226D01E-8065-4242-8ED0-813D001FAB0E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81" authorId="0" shapeId="0" xr:uid="{D8C83B0B-D0F1-4274-8FC7-2863EF16D79E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4" authorId="0" shapeId="0" xr:uid="{FD7DB00C-AD63-49D6-8E9D-556AAB9DDAFA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87" authorId="0" shapeId="0" xr:uid="{43AA8D3C-CF72-43CB-9D41-7879BD6670FC}">
      <text>
        <r>
          <rPr>
            <sz val="10"/>
            <color rgb="FF000000"/>
            <rFont val="Arial"/>
            <family val="2"/>
            <scheme val="minor"/>
          </rPr>
          <t>======
ID#AAAA4EXGEX0
Autor    (2023-08-29 20:18:46)
Lo debe sugerir el estimador.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470BF742-BD99-4230-99DD-AB3D2C696514}">
      <text>
        <r>
          <rPr>
            <sz val="10"/>
            <color rgb="FF000000"/>
            <rFont val="Arial"/>
            <family val="2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5" authorId="0" shapeId="0" xr:uid="{1BA9D2E0-8396-449A-BE74-FF52FB2C4350}">
      <text>
        <r>
          <rPr>
            <sz val="10"/>
            <color rgb="FF000000"/>
            <rFont val="Arial"/>
            <family val="2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4" authorId="0" shapeId="0" xr:uid="{DA26B012-41E8-4B3B-B1E7-C3FE8F42C51C}">
      <text>
        <r>
          <rPr>
            <sz val="10"/>
            <color rgb="FF000000"/>
            <rFont val="Arial"/>
            <family val="2"/>
            <scheme val="minor"/>
          </rPr>
          <t>======
ID#AAAA4EXGEXg
Autor    (2023-08-29 20:18:46)
¿Arquitectura centralizada o distribuida?</t>
        </r>
      </text>
    </comment>
    <comment ref="B35" authorId="0" shapeId="0" xr:uid="{DCF434F4-F3E5-4F0F-B2EC-21EF2C43021C}">
      <text>
        <r>
          <rPr>
            <sz val="10"/>
            <color rgb="FF000000"/>
            <rFont val="Arial"/>
            <family val="2"/>
            <scheme val="minor"/>
          </rPr>
          <t>======
ID#AAAA4EXGEYo
Autor    (2023-08-29 20:18:46)
¿Cuál es la importancia del tiempo de respuesta de la aplicación para el usuario final?</t>
        </r>
      </text>
    </comment>
    <comment ref="B36" authorId="0" shapeId="0" xr:uid="{E9DC0AB1-9C42-432F-9FF0-FD5D7A4A2F49}">
      <text>
        <r>
          <rPr>
            <sz val="10"/>
            <color rgb="FF000000"/>
            <rFont val="Arial"/>
            <family val="2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7" authorId="0" shapeId="0" xr:uid="{BF9A56BC-3E5A-4B4D-9271-3075A4CFCFA6}">
      <text>
        <r>
          <rPr>
            <sz val="10"/>
            <color rgb="FF000000"/>
            <rFont val="Arial"/>
            <family val="2"/>
            <scheme val="minor"/>
          </rPr>
          <t>======
ID#AAAA4EXGEXQ
Autor    (2023-08-29 20:18:46)
¿La aplicación requiere de algoritmos complejos?</t>
        </r>
      </text>
    </comment>
    <comment ref="B38" authorId="0" shapeId="0" xr:uid="{095676D1-775C-4FF4-9694-F232D89E48A0}">
      <text>
        <r>
          <rPr>
            <sz val="10"/>
            <color rgb="FF000000"/>
            <rFont val="Arial"/>
            <family val="2"/>
            <scheme val="minor"/>
          </rPr>
          <t>======
ID#AAAA4EXGEYQ
Autor    (2023-08-29 20:18:46)
¿La aplicación requiere diseñarse para ser altamente reusable?</t>
        </r>
      </text>
    </comment>
    <comment ref="B39" authorId="0" shapeId="0" xr:uid="{8980047D-F505-48A6-909D-75B56157BC79}">
      <text>
        <r>
          <rPr>
            <sz val="10"/>
            <color rgb="FF000000"/>
            <rFont val="Arial"/>
            <family val="2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0" authorId="0" shapeId="0" xr:uid="{E405BDB9-6DE5-4216-B9E2-77E4DCB4D2B0}">
      <text>
        <r>
          <rPr>
            <sz val="10"/>
            <color rgb="FF000000"/>
            <rFont val="Arial"/>
            <family val="2"/>
            <scheme val="minor"/>
          </rPr>
          <t>======
ID#AAAA4EXGEYY
Autor    (2023-08-29 20:18:46)
¿Hay requerimientos especiales respecto de la facilidad de uso?</t>
        </r>
      </text>
    </comment>
    <comment ref="B41" authorId="0" shapeId="0" xr:uid="{9D09E576-BF46-4319-851D-FC8BCFC66E3C}">
      <text>
        <r>
          <rPr>
            <sz val="10"/>
            <color rgb="FF000000"/>
            <rFont val="Arial"/>
            <family val="2"/>
            <scheme val="minor"/>
          </rPr>
          <t>======
ID#AAAA4EXGEYw
Autor    (2023-08-29 20:18:46)
¿La aplicación, debe funcionar en más de una plataforma?</t>
        </r>
      </text>
    </comment>
    <comment ref="B42" authorId="0" shapeId="0" xr:uid="{E07E9F12-D7D9-4216-BF5B-87941B7EB6FB}">
      <text>
        <r>
          <rPr>
            <sz val="10"/>
            <color rgb="FF000000"/>
            <rFont val="Arial"/>
            <family val="2"/>
            <scheme val="minor"/>
          </rPr>
          <t>======
ID#AAAA4EXGEYg
Autor    (2023-08-29 20:18:46)
¿El cliente requiere que la aplicación se pueda cambiar fácilmente en el futuro?</t>
        </r>
      </text>
    </comment>
    <comment ref="B43" authorId="0" shapeId="0" xr:uid="{7F86C0F6-AE42-412D-B4D6-4BD873D1F6D4}">
      <text>
        <r>
          <rPr>
            <sz val="10"/>
            <color rgb="FF000000"/>
            <rFont val="Arial"/>
            <family val="2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4" authorId="0" shapeId="0" xr:uid="{AA361B4C-F69F-4AAF-A11F-C83AD20A62E8}">
      <text>
        <r>
          <rPr>
            <sz val="10"/>
            <color rgb="FF000000"/>
            <rFont val="Arial"/>
            <family val="2"/>
            <scheme val="minor"/>
          </rPr>
          <t>======
ID#AAAA4EXGEXs
Autor    (2023-08-29 20:18:46)
¿Es suficiente con las prestaciones de seguridad normales, o hace falta algo especial?</t>
        </r>
      </text>
    </comment>
    <comment ref="B45" authorId="0" shapeId="0" xr:uid="{97222C0E-42A4-4C8B-AA29-C8A2231E8427}">
      <text>
        <r>
          <rPr>
            <sz val="10"/>
            <color rgb="FF000000"/>
            <rFont val="Arial"/>
            <family val="2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6" authorId="0" shapeId="0" xr:uid="{AF141BC2-81C1-4290-BEAF-C0D2DDAA99EC}">
      <text>
        <r>
          <rPr>
            <sz val="10"/>
            <color rgb="FF000000"/>
            <rFont val="Arial"/>
            <family val="2"/>
            <scheme val="minor"/>
          </rPr>
          <t>======
ID#AAAA4EXGEYs
Autor    (2023-08-29 20:18:46)
¿Se requiere formación específica para los Usuarios?</t>
        </r>
      </text>
    </comment>
    <comment ref="B52" authorId="0" shapeId="0" xr:uid="{9EC81048-9FCC-4597-AB66-6D77F0B8442A}">
      <text>
        <r>
          <rPr>
            <sz val="10"/>
            <color rgb="FF000000"/>
            <rFont val="Arial"/>
            <family val="2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3" authorId="0" shapeId="0" xr:uid="{62C3CE34-7AD6-4F6B-B118-866A63D7B706}">
      <text>
        <r>
          <rPr>
            <sz val="10"/>
            <color rgb="FF000000"/>
            <rFont val="Arial"/>
            <family val="2"/>
            <scheme val="minor"/>
          </rPr>
          <t>======
ID#AAAA4EXGEX8
Autor    (2023-08-29 20:18:46)
¿Ya trabajado el equipo en el area (dominio) de la aplicación?</t>
        </r>
      </text>
    </comment>
    <comment ref="B54" authorId="0" shapeId="0" xr:uid="{227FC6A2-9447-464F-A0F9-72CCCEC1808A}">
      <text>
        <r>
          <rPr>
            <sz val="10"/>
            <color rgb="FF000000"/>
            <rFont val="Arial"/>
            <family val="2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5" authorId="0" shapeId="0" xr:uid="{DB71F91D-3248-4BFD-B867-6BD99FC7FCA2}">
      <text>
        <r>
          <rPr>
            <sz val="10"/>
            <color rgb="FF000000"/>
            <rFont val="Arial"/>
            <family val="2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6" authorId="0" shapeId="0" xr:uid="{D9F9AF99-9A26-49EF-8872-9AC3DF990F45}">
      <text>
        <r>
          <rPr>
            <sz val="10"/>
            <color rgb="FF000000"/>
            <rFont val="Arial"/>
            <family val="2"/>
            <scheme val="minor"/>
          </rPr>
          <t>======
ID#AAAA4EXGEXo
Autor    (2023-08-29 20:18:46)
Motivación del equipo.</t>
        </r>
      </text>
    </comment>
    <comment ref="B57" authorId="0" shapeId="0" xr:uid="{4BE4E199-87E6-4072-838D-D25135DB2CEB}">
      <text>
        <r>
          <rPr>
            <sz val="10"/>
            <color rgb="FF000000"/>
            <rFont val="Arial"/>
            <family val="2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58" authorId="0" shapeId="0" xr:uid="{F4AA7842-D6C4-465E-80E3-54301184E218}">
      <text>
        <r>
          <rPr>
            <sz val="10"/>
            <color rgb="FF000000"/>
            <rFont val="Arial"/>
            <family val="2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59" authorId="0" shapeId="0" xr:uid="{EB51DEF4-9939-4B57-8FCF-9BC40E464976}">
      <text>
        <r>
          <rPr>
            <sz val="10"/>
            <color rgb="FF000000"/>
            <rFont val="Arial"/>
            <family val="2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69" authorId="0" shapeId="0" xr:uid="{95AD6649-96E9-4052-828F-19215C4B1237}">
      <text>
        <r>
          <rPr>
            <sz val="10"/>
            <color rgb="FF000000"/>
            <rFont val="Arial"/>
            <family val="2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5" authorId="0" shapeId="0" xr:uid="{C1BF3168-D0C3-44CD-83E3-F1FDCC24D019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78" authorId="0" shapeId="0" xr:uid="{1A2EE956-DEE7-4334-B579-BDA54FC92CB4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81" authorId="0" shapeId="0" xr:uid="{101C1A0A-A7EF-49AB-9762-41CDAECA052F}">
      <text>
        <r>
          <rPr>
            <sz val="10"/>
            <color rgb="FF000000"/>
            <rFont val="Arial"/>
            <family val="2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4" authorId="0" shapeId="0" xr:uid="{6E1A534C-C0F9-4DCE-AE53-D5080638AA52}">
      <text>
        <r>
          <rPr>
            <sz val="10"/>
            <color rgb="FF000000"/>
            <rFont val="Arial"/>
            <family val="2"/>
            <scheme val="minor"/>
          </rPr>
          <t>======
ID#AAAA4EXGEYk
Autor    (2023-08-29 20:18:46)
Análisis/Diseño/Pruebas/Sobrecarga</t>
        </r>
      </text>
    </comment>
    <comment ref="B87" authorId="0" shapeId="0" xr:uid="{16037758-8F65-43A9-9EA8-E8198D14DEE3}">
      <text>
        <r>
          <rPr>
            <sz val="10"/>
            <color rgb="FF000000"/>
            <rFont val="Arial"/>
            <family val="2"/>
            <scheme val="minor"/>
          </rPr>
          <t>======
ID#AAAA4EXGEX0
Autor    (2023-08-29 20:18:46)
Lo debe sugerir el estimador.</t>
        </r>
      </text>
    </comment>
  </commentList>
</comments>
</file>

<file path=xl/sharedStrings.xml><?xml version="1.0" encoding="utf-8"?>
<sst xmlns="http://schemas.openxmlformats.org/spreadsheetml/2006/main" count="533" uniqueCount="156">
  <si>
    <t>ESTIMACIÓN por PUNTOS de CASO de USO</t>
  </si>
  <si>
    <t>Proyecto:</t>
  </si>
  <si>
    <t>MiProyecto</t>
  </si>
  <si>
    <t>Gestor de Proyecto:</t>
  </si>
  <si>
    <t>MiNombre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</si>
  <si>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</si>
  <si>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</si>
  <si>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</si>
  <si>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</si>
  <si>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</si>
  <si>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</si>
  <si>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</si>
  <si>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Complejo</t>
  </si>
  <si>
    <t>Intermedio</t>
  </si>
  <si>
    <t>Simple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</si>
  <si>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</si>
  <si>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</si>
  <si>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</si>
  <si>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</si>
  <si>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</si>
  <si>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</si>
  <si>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 xml:space="preserve">Peso Total CU, sin ajustar (UUCW) </t>
  </si>
  <si>
    <t>3. PCU SIN AJUSTE</t>
  </si>
  <si>
    <r>
      <rPr>
        <b/>
        <sz val="12"/>
        <color theme="1"/>
        <rFont val="Calibri"/>
        <family val="2"/>
      </rPr>
      <t xml:space="preserve">Puntos de CU No Ajustados: </t>
    </r>
    <r>
      <rPr>
        <b/>
        <sz val="12"/>
        <color rgb="FFFF0000"/>
        <rFont val="Calibri"/>
        <family val="2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</si>
  <si>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</si>
  <si>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</si>
  <si>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</si>
  <si>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</si>
  <si>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</si>
  <si>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</si>
  <si>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</si>
  <si>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</si>
  <si>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</si>
  <si>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</si>
  <si>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</si>
  <si>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</si>
  <si>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</si>
  <si>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</si>
  <si>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</si>
  <si>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</si>
  <si>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</si>
  <si>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</si>
  <si>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</si>
  <si>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</si>
  <si>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</si>
  <si>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</si>
  <si>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  <family val="2"/>
      </rPr>
      <t xml:space="preserve">Factores Técnicos: TF = </t>
    </r>
    <r>
      <rPr>
        <b/>
        <sz val="12"/>
        <color theme="1"/>
        <rFont val="Calibri"/>
        <family val="2"/>
      </rPr>
      <t xml:space="preserve">∑ </t>
    </r>
    <r>
      <rPr>
        <b/>
        <sz val="12"/>
        <color theme="1"/>
        <rFont val="Calibri"/>
        <family val="2"/>
      </rPr>
      <t xml:space="preserve">(Peso * Evaluacion ) </t>
    </r>
  </si>
  <si>
    <r>
      <rPr>
        <b/>
        <sz val="12"/>
        <color theme="1"/>
        <rFont val="Calibri"/>
        <family val="2"/>
      </rPr>
      <t xml:space="preserve">Factor de Complejidad Técnica:  </t>
    </r>
    <r>
      <rPr>
        <b/>
        <sz val="12"/>
        <color rgb="FFFF0000"/>
        <rFont val="Calibri"/>
        <family val="2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</si>
  <si>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</si>
  <si>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</si>
  <si>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</si>
  <si>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</si>
  <si>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</si>
  <si>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</si>
  <si>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</si>
  <si>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</si>
  <si>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</si>
  <si>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</si>
  <si>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</si>
  <si>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</si>
  <si>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</si>
  <si>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</si>
  <si>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</si>
  <si>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</si>
  <si>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</si>
  <si>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</si>
  <si>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</si>
  <si>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  <family val="2"/>
      </rPr>
      <t xml:space="preserve">Factor de Complejidad Ambiental: </t>
    </r>
    <r>
      <rPr>
        <b/>
        <sz val="12"/>
        <color rgb="FFFF0000"/>
        <rFont val="Calibri"/>
        <family val="2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</si>
  <si>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</si>
  <si>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</si>
  <si>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  <family val="2"/>
      </rPr>
      <t xml:space="preserve">Puntos de Casos de Uso Ajustados: AUCP = </t>
    </r>
    <r>
      <rPr>
        <b/>
        <sz val="12"/>
        <color rgb="FFFF0000"/>
        <rFont val="Calibri"/>
        <family val="2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</si>
  <si>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</si>
  <si>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</si>
  <si>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</si>
  <si>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</si>
  <si>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</si>
  <si>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</si>
  <si>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</si>
  <si>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</si>
  <si>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</si>
  <si>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</si>
  <si>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</si>
  <si>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</si>
  <si>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</si>
  <si>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</si>
  <si>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</si>
  <si>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</si>
  <si>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</si>
  <si>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</si>
  <si>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</si>
  <si>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</si>
  <si>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t>Dedicación Diaria (hs)</t>
  </si>
  <si>
    <t>Distribución Esfuerzo por Tarea (expresado en m-h)</t>
  </si>
  <si>
    <t>8a. ESFUERZO TOTAL</t>
  </si>
  <si>
    <t>8b. ESFUERZO TOTAL</t>
  </si>
  <si>
    <t>Distribución Esfuerzo por Tarea (expresado en h-h)</t>
  </si>
  <si>
    <t>Karner
(h-h)</t>
  </si>
  <si>
    <t>Sch&amp;Win
(h-h)</t>
  </si>
  <si>
    <t>Propia
(h-h)</t>
  </si>
  <si>
    <t>Líder del Proyecto</t>
  </si>
  <si>
    <t>Usuario con acceso total al sistema</t>
  </si>
  <si>
    <t>Sistema de inicio de sesión que interactua con el sistema</t>
  </si>
  <si>
    <t>CU03: Asignar rol</t>
  </si>
  <si>
    <t>Para nuestro sistema no es importante</t>
  </si>
  <si>
    <t>Si es importante para el funcionamiento del sistema</t>
  </si>
  <si>
    <t>Se considera de complejidad media</t>
  </si>
  <si>
    <t>No hace falta</t>
  </si>
  <si>
    <t>Debe ser fácil de instalar</t>
  </si>
  <si>
    <t>Debe ser fácil de usar para el publico dirigido</t>
  </si>
  <si>
    <t>Necesario para que sea compatible en diversas plataformas</t>
  </si>
  <si>
    <t>Las funcionalidades son volátiles</t>
  </si>
  <si>
    <t>Es multitarea</t>
  </si>
  <si>
    <t>La autenticación es necesaria</t>
  </si>
  <si>
    <t>Si interactúa con diferentes sistemas</t>
  </si>
  <si>
    <t>Debera tener capacitacion</t>
  </si>
  <si>
    <t>El equipo tiene conocimientos basicos, logicos en este tipos de proyectos</t>
  </si>
  <si>
    <t>El equipo cuenta con la experiencia en POO</t>
  </si>
  <si>
    <t>El equipo cuenta con habilidades basicas de liderazgo</t>
  </si>
  <si>
    <t>El equipo esta dispuesto</t>
  </si>
  <si>
    <t>Los requerimientos son un poco estables</t>
  </si>
  <si>
    <t>Todos los miembros trabajaran a tiempo parcial</t>
  </si>
  <si>
    <t>0.5</t>
  </si>
  <si>
    <t>1.5</t>
  </si>
  <si>
    <t>2.5</t>
  </si>
  <si>
    <t>Las funcionalidades son estaticas</t>
  </si>
  <si>
    <t>El equipo se considera experto en el proceso definido</t>
  </si>
  <si>
    <t>4.5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</si>
  <si>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</si>
  <si>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</si>
  <si>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</si>
  <si>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</si>
  <si>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</si>
  <si>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</si>
  <si>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</si>
  <si>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</si>
  <si>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</si>
  <si>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</si>
  <si>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</si>
  <si>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t>Administrador</t>
  </si>
  <si>
    <t>Usuario con acceso a vistas</t>
  </si>
  <si>
    <t>Miembro</t>
  </si>
  <si>
    <t>Kairos</t>
  </si>
  <si>
    <t>Valeria Centurion, Gillermo Escalante, Florencia Mendez, Agustina Maldonado, Gonzalo Ulloa</t>
  </si>
  <si>
    <t>CU23: Registrar usuario a proyecto</t>
  </si>
  <si>
    <t>CU##: Gestionar proyectos</t>
  </si>
  <si>
    <t>CU07: Crear etapa</t>
  </si>
  <si>
    <t>CU##: Gestionar tareas</t>
  </si>
  <si>
    <t>CU20:Registrar tiempo por cronómetro</t>
  </si>
  <si>
    <t>CU21: Registrar tiempo manual</t>
  </si>
  <si>
    <t>CU04: Modificar perfil</t>
  </si>
  <si>
    <t>CU23: Ver reporte</t>
  </si>
  <si>
    <t>CU02: Exportar información</t>
  </si>
  <si>
    <t>El equipo de desarrollo está investigando y avanzando en el dominio de aplicación</t>
  </si>
  <si>
    <t>Se empezó a investigar y poner en práctica el framework angular</t>
  </si>
  <si>
    <t>Todos los miembros tienen meses de experiencia</t>
  </si>
  <si>
    <t>CU08: Crear iteración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</si>
</sst>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7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rgb="FF3F3F76"/>
      <name val="Calibri"/>
      <family val="2"/>
    </font>
    <font>
      <b/>
      <sz val="12"/>
      <color rgb="FFFA7D00"/>
      <name val="Calibri"/>
      <family val="2"/>
    </font>
    <font>
      <b/>
      <sz val="12"/>
      <color rgb="FF3F3F3F"/>
      <name val="Calibri"/>
      <family val="2"/>
    </font>
    <font>
      <u/>
      <sz val="10"/>
      <color theme="10"/>
      <name val="Arial"/>
      <family val="2"/>
    </font>
    <font>
      <b/>
      <sz val="11"/>
      <color rgb="FFFA7D00"/>
      <name val="Calibri"/>
      <family val="2"/>
    </font>
    <font>
      <b/>
      <sz val="12"/>
      <color rgb="FF002060"/>
      <name val="Calibri"/>
      <family val="2"/>
    </font>
    <font>
      <b/>
      <sz val="12"/>
      <color rgb="FF3F3F76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9" fontId="11" fillId="3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0" fontId="5" fillId="6" borderId="13" xfId="0" applyFont="1" applyFill="1" applyBorder="1" applyAlignment="1">
      <alignment vertical="center" wrapText="1"/>
    </xf>
    <xf numFmtId="0" fontId="5" fillId="6" borderId="14" xfId="0" applyFont="1" applyFill="1" applyBorder="1" applyAlignment="1">
      <alignment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/>
    </xf>
    <xf numFmtId="0" fontId="13" fillId="0" borderId="21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  <xf numFmtId="0" fontId="5" fillId="6" borderId="13" xfId="0" applyFont="1" applyFill="1" applyBorder="1" applyAlignment="1">
      <alignment wrapText="1"/>
    </xf>
    <xf numFmtId="0" fontId="13" fillId="6" borderId="14" xfId="0" applyFont="1" applyFill="1" applyBorder="1" applyAlignment="1">
      <alignment wrapText="1"/>
    </xf>
    <xf numFmtId="0" fontId="5" fillId="6" borderId="14" xfId="0" applyFont="1" applyFill="1" applyBorder="1" applyAlignment="1">
      <alignment horizontal="center" wrapText="1"/>
    </xf>
    <xf numFmtId="0" fontId="6" fillId="7" borderId="14" xfId="0" applyFont="1" applyFill="1" applyBorder="1" applyAlignment="1">
      <alignment horizontal="center" wrapText="1"/>
    </xf>
    <xf numFmtId="0" fontId="5" fillId="6" borderId="15" xfId="0" applyFont="1" applyFill="1" applyBorder="1" applyAlignment="1">
      <alignment wrapText="1"/>
    </xf>
    <xf numFmtId="0" fontId="13" fillId="6" borderId="16" xfId="0" applyFont="1" applyFill="1" applyBorder="1" applyAlignment="1">
      <alignment wrapText="1"/>
    </xf>
    <xf numFmtId="0" fontId="5" fillId="6" borderId="16" xfId="0" applyFont="1" applyFill="1" applyBorder="1" applyAlignment="1">
      <alignment horizontal="center" wrapText="1"/>
    </xf>
    <xf numFmtId="0" fontId="6" fillId="7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4"/>
  <sheetViews>
    <sheetView tabSelected="1" topLeftCell="A87" zoomScale="87" zoomScaleNormal="87" workbookViewId="0">
      <selection activeCell="B16" sqref="B16:F26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3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 x14ac:dyDescent="0.25">
      <c r="A2" s="4"/>
      <c r="B2" s="82" t="s">
        <v>0</v>
      </c>
      <c r="C2" s="78"/>
      <c r="D2" s="78"/>
      <c r="E2" s="78"/>
      <c r="F2" s="78"/>
      <c r="G2" s="7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thickBot="1" x14ac:dyDescent="0.25">
      <c r="A3" s="4"/>
      <c r="B3" s="68" t="s">
        <v>1</v>
      </c>
      <c r="C3" s="69" t="s">
        <v>141</v>
      </c>
      <c r="D3" s="70"/>
      <c r="E3" s="70"/>
      <c r="F3" s="70"/>
      <c r="G3" s="71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thickBot="1" x14ac:dyDescent="0.25">
      <c r="A4" s="4"/>
      <c r="B4" s="72" t="s">
        <v>3</v>
      </c>
      <c r="C4" s="73" t="s">
        <v>142</v>
      </c>
      <c r="D4" s="74"/>
      <c r="E4" s="74"/>
      <c r="F4" s="74"/>
      <c r="G4" s="75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Bo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thickBot="1" x14ac:dyDescent="0.25">
      <c r="A8" s="1"/>
      <c r="B8" s="56" t="s">
        <v>99</v>
      </c>
      <c r="C8" s="57" t="s">
        <v>12</v>
      </c>
      <c r="D8" s="57" t="s">
        <v>100</v>
      </c>
      <c r="E8" s="58">
        <v>3</v>
      </c>
      <c r="F8" s="59">
        <v>1</v>
      </c>
      <c r="G8" s="58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 thickBot="1" x14ac:dyDescent="0.25">
      <c r="A9" s="1"/>
      <c r="B9" s="60" t="s">
        <v>138</v>
      </c>
      <c r="C9" s="61" t="s">
        <v>12</v>
      </c>
      <c r="D9" s="61" t="s">
        <v>139</v>
      </c>
      <c r="E9" s="62">
        <v>3</v>
      </c>
      <c r="F9" s="63">
        <v>1</v>
      </c>
      <c r="G9" s="62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thickBot="1" x14ac:dyDescent="0.25">
      <c r="A10" s="1"/>
      <c r="B10" s="60" t="s">
        <v>140</v>
      </c>
      <c r="C10" s="61" t="s">
        <v>12</v>
      </c>
      <c r="D10" s="61" t="s">
        <v>101</v>
      </c>
      <c r="E10" s="62">
        <v>3</v>
      </c>
      <c r="F10" s="63">
        <v>1</v>
      </c>
      <c r="G10" s="62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thickBot="1" x14ac:dyDescent="0.25">
      <c r="A11" s="1"/>
      <c r="B11" s="60"/>
      <c r="C11" s="61"/>
      <c r="D11" s="61"/>
      <c r="E11" s="62"/>
      <c r="F11" s="63"/>
      <c r="G11" s="6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9"/>
      <c r="C12" s="77" t="s">
        <v>15</v>
      </c>
      <c r="D12" s="78"/>
      <c r="E12" s="78"/>
      <c r="F12" s="79"/>
      <c r="G12" s="21">
        <f>SUM(G8:G11)</f>
        <v>3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2"/>
      <c r="D13" s="3"/>
      <c r="E13" s="3"/>
      <c r="F13" s="3"/>
      <c r="G13" s="23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4"/>
      <c r="D14" s="24"/>
      <c r="E14" s="25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thickBot="1" x14ac:dyDescent="0.25">
      <c r="A15" s="15" t="s">
        <v>16</v>
      </c>
      <c r="B15" s="16" t="s">
        <v>17</v>
      </c>
      <c r="C15" s="16" t="s">
        <v>18</v>
      </c>
      <c r="D15" s="17" t="s">
        <v>19</v>
      </c>
      <c r="E15" s="17" t="s">
        <v>20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6"/>
      <c r="U15" s="1"/>
      <c r="V15" s="1"/>
      <c r="W15" s="1"/>
      <c r="X15" s="1"/>
      <c r="Y15" s="1"/>
      <c r="Z15" s="1"/>
    </row>
    <row r="16" spans="1:26" ht="27.75" customHeight="1" thickBot="1" x14ac:dyDescent="0.3">
      <c r="A16" s="1"/>
      <c r="B16" s="86" t="s">
        <v>145</v>
      </c>
      <c r="C16" s="87"/>
      <c r="D16" s="88">
        <v>3</v>
      </c>
      <c r="E16" s="89" t="s">
        <v>14</v>
      </c>
      <c r="F16" s="89">
        <v>5</v>
      </c>
      <c r="G16" s="1"/>
      <c r="H16" s="1"/>
      <c r="I16" s="1"/>
      <c r="J16" s="1"/>
      <c r="K16" s="26"/>
      <c r="L16" s="1"/>
      <c r="M16" s="1"/>
      <c r="N16" s="1"/>
      <c r="O16" s="1"/>
      <c r="P16" s="1"/>
      <c r="Q16" s="1"/>
      <c r="R16" s="1"/>
      <c r="S16" s="1"/>
      <c r="T16" s="26"/>
      <c r="U16" s="1"/>
      <c r="V16" s="1"/>
      <c r="W16" s="1"/>
      <c r="X16" s="1"/>
      <c r="Y16" s="1"/>
      <c r="Z16" s="1"/>
    </row>
    <row r="17" spans="1:26" ht="27.75" customHeight="1" thickBot="1" x14ac:dyDescent="0.3">
      <c r="A17" s="1"/>
      <c r="B17" s="90" t="s">
        <v>143</v>
      </c>
      <c r="C17" s="91"/>
      <c r="D17" s="92">
        <v>6</v>
      </c>
      <c r="E17" s="93" t="s">
        <v>13</v>
      </c>
      <c r="F17" s="93">
        <v>10</v>
      </c>
      <c r="G17" s="1"/>
      <c r="H17" s="1"/>
      <c r="I17" s="1"/>
      <c r="J17" s="1"/>
      <c r="K17" s="26"/>
      <c r="L17" s="1"/>
      <c r="M17" s="1"/>
      <c r="N17" s="1"/>
      <c r="O17" s="1"/>
      <c r="P17" s="1"/>
      <c r="Q17" s="1"/>
      <c r="R17" s="1"/>
      <c r="S17" s="1"/>
      <c r="T17" s="26"/>
      <c r="U17" s="1"/>
      <c r="V17" s="1"/>
      <c r="W17" s="1"/>
      <c r="X17" s="1"/>
      <c r="Y17" s="1"/>
      <c r="Z17" s="1"/>
    </row>
    <row r="18" spans="1:26" ht="27.75" customHeight="1" thickBot="1" x14ac:dyDescent="0.3">
      <c r="A18" s="1"/>
      <c r="B18" s="90" t="s">
        <v>144</v>
      </c>
      <c r="C18" s="91"/>
      <c r="D18" s="92">
        <v>8</v>
      </c>
      <c r="E18" s="93" t="s">
        <v>12</v>
      </c>
      <c r="F18" s="93">
        <v>15</v>
      </c>
      <c r="G18" s="1"/>
      <c r="H18" s="1"/>
      <c r="I18" s="1"/>
      <c r="J18" s="1"/>
      <c r="K18" s="26"/>
      <c r="L18" s="1"/>
      <c r="M18" s="1"/>
      <c r="N18" s="1"/>
      <c r="O18" s="1"/>
      <c r="P18" s="1"/>
      <c r="Q18" s="1"/>
      <c r="R18" s="1"/>
      <c r="S18" s="1"/>
      <c r="T18" s="26"/>
      <c r="U18" s="1"/>
      <c r="V18" s="1"/>
      <c r="W18" s="1"/>
      <c r="X18" s="1"/>
      <c r="Y18" s="1"/>
      <c r="Z18" s="1"/>
    </row>
    <row r="19" spans="1:26" ht="27.75" customHeight="1" thickBot="1" x14ac:dyDescent="0.3">
      <c r="A19" s="1"/>
      <c r="B19" s="90" t="s">
        <v>155</v>
      </c>
      <c r="C19" s="91"/>
      <c r="D19" s="92">
        <v>3</v>
      </c>
      <c r="E19" s="93" t="s">
        <v>14</v>
      </c>
      <c r="F19" s="93">
        <v>5</v>
      </c>
      <c r="G19" s="1"/>
      <c r="H19" s="1"/>
      <c r="I19" s="1"/>
      <c r="J19" s="1"/>
      <c r="K19" s="26"/>
      <c r="L19" s="1"/>
      <c r="M19" s="1"/>
      <c r="N19" s="1"/>
      <c r="O19" s="1"/>
      <c r="P19" s="1"/>
      <c r="Q19" s="1"/>
      <c r="R19" s="1"/>
      <c r="S19" s="1"/>
      <c r="T19" s="26"/>
      <c r="U19" s="1"/>
      <c r="V19" s="1"/>
      <c r="W19" s="1"/>
      <c r="X19" s="1"/>
      <c r="Y19" s="1"/>
      <c r="Z19" s="1"/>
    </row>
    <row r="20" spans="1:26" ht="27.75" customHeight="1" thickBot="1" x14ac:dyDescent="0.3">
      <c r="A20" s="1"/>
      <c r="B20" s="90" t="s">
        <v>146</v>
      </c>
      <c r="C20" s="91"/>
      <c r="D20" s="92">
        <v>10</v>
      </c>
      <c r="E20" s="93" t="s">
        <v>12</v>
      </c>
      <c r="F20" s="93">
        <v>15</v>
      </c>
      <c r="G20" s="1"/>
      <c r="H20" s="1"/>
      <c r="I20" s="1"/>
      <c r="J20" s="1"/>
      <c r="K20" s="26"/>
      <c r="L20" s="1"/>
      <c r="M20" s="1"/>
      <c r="N20" s="1"/>
      <c r="O20" s="1"/>
      <c r="P20" s="1"/>
      <c r="Q20" s="1"/>
      <c r="R20" s="1"/>
      <c r="S20" s="1"/>
      <c r="T20" s="26"/>
      <c r="U20" s="1"/>
      <c r="V20" s="1"/>
      <c r="W20" s="1"/>
      <c r="X20" s="1"/>
      <c r="Y20" s="1"/>
      <c r="Z20" s="1"/>
    </row>
    <row r="21" spans="1:26" ht="27.75" customHeight="1" thickBot="1" x14ac:dyDescent="0.3">
      <c r="A21" s="1"/>
      <c r="B21" s="90" t="s">
        <v>147</v>
      </c>
      <c r="C21" s="91"/>
      <c r="D21" s="92">
        <v>4</v>
      </c>
      <c r="E21" s="93" t="s">
        <v>13</v>
      </c>
      <c r="F21" s="93">
        <v>10</v>
      </c>
      <c r="G21" s="1"/>
      <c r="H21" s="1"/>
      <c r="I21" s="1"/>
      <c r="J21" s="1"/>
      <c r="K21" s="26"/>
      <c r="L21" s="1"/>
      <c r="M21" s="1"/>
      <c r="N21" s="1"/>
      <c r="O21" s="1"/>
      <c r="P21" s="1"/>
      <c r="Q21" s="1"/>
      <c r="R21" s="1"/>
      <c r="S21" s="1"/>
      <c r="T21" s="26"/>
      <c r="U21" s="1"/>
      <c r="V21" s="1"/>
      <c r="W21" s="1"/>
      <c r="X21" s="1"/>
      <c r="Y21" s="1"/>
      <c r="Z21" s="1"/>
    </row>
    <row r="22" spans="1:26" ht="27.75" customHeight="1" thickBot="1" x14ac:dyDescent="0.3">
      <c r="A22" s="1"/>
      <c r="B22" s="90" t="s">
        <v>148</v>
      </c>
      <c r="C22" s="91"/>
      <c r="D22" s="92">
        <v>4</v>
      </c>
      <c r="E22" s="93" t="s">
        <v>13</v>
      </c>
      <c r="F22" s="93">
        <v>10</v>
      </c>
      <c r="G22" s="1"/>
      <c r="H22" s="1"/>
      <c r="I22" s="1"/>
      <c r="J22" s="1"/>
      <c r="K22" s="26"/>
      <c r="L22" s="1"/>
      <c r="M22" s="1"/>
      <c r="N22" s="1"/>
      <c r="O22" s="1"/>
      <c r="P22" s="1"/>
      <c r="Q22" s="1"/>
      <c r="R22" s="1"/>
      <c r="S22" s="1"/>
      <c r="T22" s="26"/>
      <c r="U22" s="1"/>
      <c r="V22" s="1"/>
      <c r="W22" s="1"/>
      <c r="X22" s="1"/>
      <c r="Y22" s="1"/>
      <c r="Z22" s="1"/>
    </row>
    <row r="23" spans="1:26" ht="27.75" customHeight="1" thickBot="1" x14ac:dyDescent="0.3">
      <c r="A23" s="1"/>
      <c r="B23" s="90" t="s">
        <v>102</v>
      </c>
      <c r="C23" s="91"/>
      <c r="D23" s="92">
        <v>3</v>
      </c>
      <c r="E23" s="93" t="s">
        <v>14</v>
      </c>
      <c r="F23" s="93">
        <v>5</v>
      </c>
      <c r="G23" s="1"/>
      <c r="H23" s="1"/>
      <c r="I23" s="1"/>
      <c r="J23" s="1"/>
      <c r="K23" s="26"/>
      <c r="L23" s="1"/>
      <c r="M23" s="1"/>
      <c r="N23" s="1"/>
      <c r="O23" s="1"/>
      <c r="P23" s="1"/>
      <c r="Q23" s="1"/>
      <c r="R23" s="1"/>
      <c r="S23" s="1"/>
      <c r="T23" s="26"/>
      <c r="U23" s="1"/>
      <c r="V23" s="1"/>
      <c r="W23" s="1"/>
      <c r="X23" s="1"/>
      <c r="Y23" s="1"/>
      <c r="Z23" s="1"/>
    </row>
    <row r="24" spans="1:26" ht="27.75" customHeight="1" thickBot="1" x14ac:dyDescent="0.3">
      <c r="A24" s="1"/>
      <c r="B24" s="90" t="s">
        <v>149</v>
      </c>
      <c r="C24" s="91"/>
      <c r="D24" s="92">
        <v>3</v>
      </c>
      <c r="E24" s="93" t="s">
        <v>14</v>
      </c>
      <c r="F24" s="93">
        <v>5</v>
      </c>
      <c r="G24" s="1"/>
      <c r="H24" s="1"/>
      <c r="I24" s="1"/>
      <c r="J24" s="1"/>
      <c r="K24" s="26"/>
      <c r="L24" s="1"/>
      <c r="M24" s="1"/>
      <c r="N24" s="1"/>
      <c r="O24" s="1"/>
      <c r="P24" s="1"/>
      <c r="Q24" s="1"/>
      <c r="R24" s="1"/>
      <c r="S24" s="1"/>
      <c r="T24" s="26"/>
      <c r="U24" s="1"/>
      <c r="V24" s="1"/>
      <c r="W24" s="1"/>
      <c r="X24" s="1"/>
      <c r="Y24" s="1"/>
      <c r="Z24" s="1"/>
    </row>
    <row r="25" spans="1:26" ht="27.75" customHeight="1" thickBot="1" x14ac:dyDescent="0.3">
      <c r="A25" s="1"/>
      <c r="B25" s="90" t="s">
        <v>150</v>
      </c>
      <c r="C25" s="91"/>
      <c r="D25" s="92">
        <v>4</v>
      </c>
      <c r="E25" s="93" t="s">
        <v>13</v>
      </c>
      <c r="F25" s="93">
        <v>10</v>
      </c>
      <c r="G25" s="1"/>
      <c r="H25" s="1"/>
      <c r="I25" s="1"/>
      <c r="J25" s="1"/>
      <c r="K25" s="26"/>
      <c r="L25" s="1"/>
      <c r="M25" s="1"/>
      <c r="N25" s="1"/>
      <c r="O25" s="1"/>
      <c r="P25" s="1"/>
      <c r="Q25" s="1"/>
      <c r="R25" s="1"/>
      <c r="S25" s="1"/>
      <c r="T25" s="26"/>
      <c r="U25" s="1"/>
      <c r="V25" s="1"/>
      <c r="W25" s="1"/>
      <c r="X25" s="1"/>
      <c r="Y25" s="1"/>
      <c r="Z25" s="1"/>
    </row>
    <row r="26" spans="1:26" ht="27.75" customHeight="1" thickBot="1" x14ac:dyDescent="0.3">
      <c r="A26" s="1"/>
      <c r="B26" s="90" t="s">
        <v>151</v>
      </c>
      <c r="C26" s="91"/>
      <c r="D26" s="92">
        <v>3</v>
      </c>
      <c r="E26" s="93" t="s">
        <v>14</v>
      </c>
      <c r="F26" s="93">
        <v>5</v>
      </c>
      <c r="G26" s="1"/>
      <c r="H26" s="1"/>
      <c r="I26" s="1"/>
      <c r="J26" s="1"/>
      <c r="K26" s="26"/>
      <c r="L26" s="1"/>
      <c r="M26" s="1"/>
      <c r="N26" s="1"/>
      <c r="O26" s="1"/>
      <c r="P26" s="1"/>
      <c r="Q26" s="1"/>
      <c r="R26" s="1"/>
      <c r="S26" s="1"/>
      <c r="T26" s="26"/>
      <c r="U26" s="1"/>
      <c r="V26" s="1"/>
      <c r="W26" s="1"/>
      <c r="X26" s="1"/>
      <c r="Y26" s="1"/>
      <c r="Z26" s="1"/>
    </row>
    <row r="27" spans="1:26" ht="27.75" customHeight="1" thickBot="1" x14ac:dyDescent="0.25">
      <c r="A27" s="1"/>
      <c r="B27" s="60"/>
      <c r="C27" s="64"/>
      <c r="D27" s="63"/>
      <c r="E27" s="62"/>
      <c r="F27" s="62"/>
      <c r="G27" s="1"/>
      <c r="H27" s="1"/>
      <c r="I27" s="1"/>
      <c r="J27" s="1"/>
      <c r="K27" s="26"/>
      <c r="L27" s="1"/>
      <c r="M27" s="1"/>
      <c r="N27" s="1"/>
      <c r="O27" s="1"/>
      <c r="P27" s="1"/>
      <c r="Q27" s="1"/>
      <c r="R27" s="1"/>
      <c r="S27" s="1"/>
      <c r="T27" s="26"/>
      <c r="U27" s="1"/>
      <c r="V27" s="1"/>
      <c r="W27" s="1"/>
      <c r="X27" s="1"/>
      <c r="Y27" s="1"/>
      <c r="Z27" s="1"/>
    </row>
    <row r="28" spans="1:26" ht="27.75" customHeight="1" thickBot="1" x14ac:dyDescent="0.25">
      <c r="A28" s="1"/>
      <c r="B28" s="60"/>
      <c r="C28" s="64"/>
      <c r="D28" s="63"/>
      <c r="E28" s="62"/>
      <c r="F28" s="62"/>
      <c r="G28" s="1"/>
      <c r="H28" s="1"/>
      <c r="I28" s="1"/>
      <c r="J28" s="1"/>
      <c r="K28" s="26"/>
      <c r="L28" s="1"/>
      <c r="M28" s="1"/>
      <c r="N28" s="1"/>
      <c r="O28" s="1"/>
      <c r="P28" s="1"/>
      <c r="Q28" s="1"/>
      <c r="R28" s="1"/>
      <c r="S28" s="1"/>
      <c r="T28" s="26"/>
      <c r="U28" s="1"/>
      <c r="V28" s="1"/>
      <c r="W28" s="1"/>
      <c r="X28" s="1"/>
      <c r="Y28" s="1"/>
      <c r="Z28" s="1"/>
    </row>
    <row r="29" spans="1:26" ht="27.75" customHeight="1" thickBot="1" x14ac:dyDescent="0.25">
      <c r="A29" s="1"/>
      <c r="B29" s="60"/>
      <c r="C29" s="64"/>
      <c r="D29" s="63"/>
      <c r="E29" s="62"/>
      <c r="F29" s="62"/>
      <c r="G29" s="1"/>
      <c r="H29" s="1"/>
      <c r="I29" s="1"/>
      <c r="J29" s="1"/>
      <c r="K29" s="26"/>
      <c r="L29" s="1"/>
      <c r="M29" s="1"/>
      <c r="N29" s="1"/>
      <c r="O29" s="1"/>
      <c r="P29" s="1"/>
      <c r="Q29" s="1"/>
      <c r="R29" s="1"/>
      <c r="S29" s="1"/>
      <c r="T29" s="26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27"/>
      <c r="C30" s="83" t="s">
        <v>21</v>
      </c>
      <c r="D30" s="84"/>
      <c r="E30" s="85"/>
      <c r="F30" s="28">
        <f>SUM(F16:F29)</f>
        <v>95</v>
      </c>
      <c r="G30" s="1"/>
      <c r="H30" s="15"/>
      <c r="I30" s="1"/>
      <c r="J30" s="1"/>
      <c r="K30" s="2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5" t="s">
        <v>22</v>
      </c>
      <c r="B33" s="29"/>
      <c r="C33" s="77" t="s">
        <v>23</v>
      </c>
      <c r="D33" s="78"/>
      <c r="E33" s="79"/>
      <c r="F33" s="21">
        <f>G12+F30</f>
        <v>98</v>
      </c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"/>
      <c r="B35" s="3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thickBot="1" x14ac:dyDescent="0.25">
      <c r="A36" s="15" t="s">
        <v>24</v>
      </c>
      <c r="B36" s="17" t="s">
        <v>25</v>
      </c>
      <c r="C36" s="17" t="s">
        <v>26</v>
      </c>
      <c r="D36" s="16" t="s">
        <v>27</v>
      </c>
      <c r="E36" s="16" t="s">
        <v>9</v>
      </c>
      <c r="F36" s="16" t="s">
        <v>28</v>
      </c>
      <c r="G36" s="16" t="s">
        <v>29</v>
      </c>
      <c r="H36" s="1" t="s">
        <v>30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7.75" customHeight="1" thickBot="1" x14ac:dyDescent="0.25">
      <c r="A37" s="1"/>
      <c r="B37" s="30" t="s">
        <v>31</v>
      </c>
      <c r="C37" s="30" t="s">
        <v>32</v>
      </c>
      <c r="D37" s="56" t="s">
        <v>103</v>
      </c>
      <c r="E37" s="65">
        <v>2</v>
      </c>
      <c r="F37" s="59">
        <v>0</v>
      </c>
      <c r="G37" s="65">
        <v>0</v>
      </c>
      <c r="H37" s="31" t="s">
        <v>33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25">
      <c r="A38" s="1"/>
      <c r="B38" s="30" t="s">
        <v>34</v>
      </c>
      <c r="C38" s="30" t="s">
        <v>32</v>
      </c>
      <c r="D38" s="60" t="s">
        <v>104</v>
      </c>
      <c r="E38" s="66">
        <v>2</v>
      </c>
      <c r="F38" s="63">
        <v>5</v>
      </c>
      <c r="G38" s="66">
        <v>10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thickBot="1" x14ac:dyDescent="0.25">
      <c r="A39" s="1"/>
      <c r="B39" s="30" t="s">
        <v>35</v>
      </c>
      <c r="C39" s="30" t="s">
        <v>32</v>
      </c>
      <c r="D39" s="67"/>
      <c r="E39" s="66">
        <v>1</v>
      </c>
      <c r="F39" s="63">
        <v>4</v>
      </c>
      <c r="G39" s="66"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thickBot="1" x14ac:dyDescent="0.25">
      <c r="A40" s="1"/>
      <c r="B40" s="30" t="s">
        <v>36</v>
      </c>
      <c r="C40" s="30" t="s">
        <v>32</v>
      </c>
      <c r="D40" s="60" t="s">
        <v>105</v>
      </c>
      <c r="E40" s="66">
        <v>1</v>
      </c>
      <c r="F40" s="63">
        <v>4</v>
      </c>
      <c r="G40" s="66"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thickBot="1" x14ac:dyDescent="0.25">
      <c r="A41" s="1"/>
      <c r="B41" s="30" t="s">
        <v>37</v>
      </c>
      <c r="C41" s="30" t="s">
        <v>32</v>
      </c>
      <c r="D41" s="60" t="s">
        <v>106</v>
      </c>
      <c r="E41" s="66">
        <v>1</v>
      </c>
      <c r="F41" s="63">
        <v>0</v>
      </c>
      <c r="G41" s="66"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thickBot="1" x14ac:dyDescent="0.25">
      <c r="A42" s="1"/>
      <c r="B42" s="30" t="s">
        <v>38</v>
      </c>
      <c r="C42" s="30" t="s">
        <v>32</v>
      </c>
      <c r="D42" s="60" t="s">
        <v>107</v>
      </c>
      <c r="E42" s="66">
        <v>0.5</v>
      </c>
      <c r="F42" s="63">
        <v>5</v>
      </c>
      <c r="G42" s="66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thickBot="1" x14ac:dyDescent="0.25">
      <c r="A43" s="1"/>
      <c r="B43" s="30" t="s">
        <v>39</v>
      </c>
      <c r="C43" s="30" t="s">
        <v>32</v>
      </c>
      <c r="D43" s="60" t="s">
        <v>108</v>
      </c>
      <c r="E43" s="66">
        <v>0.5</v>
      </c>
      <c r="F43" s="63">
        <v>5</v>
      </c>
      <c r="G43" s="66">
        <v>2.5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thickBot="1" x14ac:dyDescent="0.25">
      <c r="A44" s="1"/>
      <c r="B44" s="30" t="s">
        <v>40</v>
      </c>
      <c r="C44" s="30" t="s">
        <v>32</v>
      </c>
      <c r="D44" s="60" t="s">
        <v>109</v>
      </c>
      <c r="E44" s="66">
        <v>2</v>
      </c>
      <c r="F44" s="63">
        <v>3</v>
      </c>
      <c r="G44" s="66">
        <v>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thickBot="1" x14ac:dyDescent="0.25">
      <c r="A45" s="1"/>
      <c r="B45" s="30" t="s">
        <v>41</v>
      </c>
      <c r="C45" s="30" t="s">
        <v>32</v>
      </c>
      <c r="D45" s="60" t="s">
        <v>110</v>
      </c>
      <c r="E45" s="66">
        <v>1</v>
      </c>
      <c r="F45" s="63">
        <v>1</v>
      </c>
      <c r="G45" s="66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75" customHeight="1" thickBot="1" x14ac:dyDescent="0.25">
      <c r="A46" s="1"/>
      <c r="B46" s="30" t="s">
        <v>42</v>
      </c>
      <c r="C46" s="30" t="s">
        <v>32</v>
      </c>
      <c r="D46" s="60" t="s">
        <v>111</v>
      </c>
      <c r="E46" s="66">
        <v>1</v>
      </c>
      <c r="F46" s="63">
        <v>5</v>
      </c>
      <c r="G46" s="66"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thickBot="1" x14ac:dyDescent="0.25">
      <c r="A47" s="1"/>
      <c r="B47" s="30" t="s">
        <v>43</v>
      </c>
      <c r="C47" s="30" t="s">
        <v>32</v>
      </c>
      <c r="D47" s="60" t="s">
        <v>112</v>
      </c>
      <c r="E47" s="66">
        <v>1</v>
      </c>
      <c r="F47" s="63">
        <v>5</v>
      </c>
      <c r="G47" s="66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25">
      <c r="A48" s="1"/>
      <c r="B48" s="30" t="s">
        <v>44</v>
      </c>
      <c r="C48" s="30" t="s">
        <v>32</v>
      </c>
      <c r="D48" s="60" t="s">
        <v>113</v>
      </c>
      <c r="E48" s="66">
        <v>1</v>
      </c>
      <c r="F48" s="63">
        <v>4</v>
      </c>
      <c r="G48" s="66">
        <v>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thickBot="1" x14ac:dyDescent="0.25">
      <c r="A49" s="1"/>
      <c r="B49" s="30" t="s">
        <v>45</v>
      </c>
      <c r="C49" s="30" t="s">
        <v>32</v>
      </c>
      <c r="D49" s="60" t="s">
        <v>114</v>
      </c>
      <c r="E49" s="66">
        <v>1</v>
      </c>
      <c r="F49" s="63">
        <v>3</v>
      </c>
      <c r="G49" s="66"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77" t="s">
        <v>46</v>
      </c>
      <c r="C50" s="78"/>
      <c r="D50" s="78"/>
      <c r="E50" s="78"/>
      <c r="F50" s="79"/>
      <c r="G50" s="32">
        <f>SUM(G37:G49)</f>
        <v>47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77" t="s">
        <v>47</v>
      </c>
      <c r="C51" s="78"/>
      <c r="D51" s="78"/>
      <c r="E51" s="78"/>
      <c r="F51" s="79"/>
      <c r="G51" s="28">
        <f>0.6+(0.01*G50)</f>
        <v>1.07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22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75" customHeight="1" x14ac:dyDescent="0.2">
      <c r="A53" s="1"/>
      <c r="B53" s="33"/>
      <c r="C53" s="33"/>
      <c r="D53" s="34"/>
      <c r="E53" s="33"/>
      <c r="F53" s="33"/>
      <c r="G53" s="3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25">
      <c r="A54" s="15" t="s">
        <v>48</v>
      </c>
      <c r="B54" s="17" t="s">
        <v>49</v>
      </c>
      <c r="C54" s="17" t="s">
        <v>50</v>
      </c>
      <c r="D54" s="16" t="s">
        <v>51</v>
      </c>
      <c r="E54" s="16" t="s">
        <v>9</v>
      </c>
      <c r="F54" s="16" t="s">
        <v>28</v>
      </c>
      <c r="G54" s="16" t="s">
        <v>29</v>
      </c>
      <c r="H54" s="1" t="s">
        <v>52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thickBot="1" x14ac:dyDescent="0.25">
      <c r="A55" s="1"/>
      <c r="B55" s="35" t="s">
        <v>53</v>
      </c>
      <c r="C55" s="30" t="s">
        <v>54</v>
      </c>
      <c r="D55" s="56" t="s">
        <v>115</v>
      </c>
      <c r="E55" s="65" t="s">
        <v>122</v>
      </c>
      <c r="F55" s="59">
        <v>3</v>
      </c>
      <c r="G55" s="65" t="s">
        <v>126</v>
      </c>
      <c r="H55" s="31" t="s">
        <v>33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thickBot="1" x14ac:dyDescent="0.25">
      <c r="A56" s="1"/>
      <c r="B56" s="35" t="s">
        <v>55</v>
      </c>
      <c r="C56" s="30" t="s">
        <v>54</v>
      </c>
      <c r="D56" s="60" t="s">
        <v>152</v>
      </c>
      <c r="E56" s="66" t="s">
        <v>121</v>
      </c>
      <c r="F56" s="63">
        <v>4</v>
      </c>
      <c r="G56" s="66">
        <v>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25">
      <c r="A57" s="1"/>
      <c r="B57" s="35" t="s">
        <v>56</v>
      </c>
      <c r="C57" s="30" t="s">
        <v>54</v>
      </c>
      <c r="D57" s="60" t="s">
        <v>116</v>
      </c>
      <c r="E57" s="66">
        <v>1</v>
      </c>
      <c r="F57" s="63">
        <v>4</v>
      </c>
      <c r="G57" s="66">
        <v>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thickBot="1" x14ac:dyDescent="0.25">
      <c r="A58" s="1"/>
      <c r="B58" s="35" t="s">
        <v>57</v>
      </c>
      <c r="C58" s="30" t="s">
        <v>54</v>
      </c>
      <c r="D58" s="60" t="s">
        <v>117</v>
      </c>
      <c r="E58" s="66" t="s">
        <v>121</v>
      </c>
      <c r="F58" s="63">
        <v>3</v>
      </c>
      <c r="G58" s="66" t="s">
        <v>122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75" customHeight="1" thickBot="1" x14ac:dyDescent="0.25">
      <c r="A59" s="1"/>
      <c r="B59" s="35" t="s">
        <v>58</v>
      </c>
      <c r="C59" s="30" t="s">
        <v>59</v>
      </c>
      <c r="D59" s="60" t="s">
        <v>118</v>
      </c>
      <c r="E59" s="66">
        <v>1</v>
      </c>
      <c r="F59" s="63">
        <v>4</v>
      </c>
      <c r="G59" s="66"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thickBot="1" x14ac:dyDescent="0.25">
      <c r="A60" s="1"/>
      <c r="B60" s="35" t="s">
        <v>60</v>
      </c>
      <c r="C60" s="30" t="s">
        <v>61</v>
      </c>
      <c r="D60" s="60" t="s">
        <v>119</v>
      </c>
      <c r="E60" s="66">
        <v>2</v>
      </c>
      <c r="F60" s="63">
        <v>2</v>
      </c>
      <c r="G60" s="66">
        <v>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thickBot="1" x14ac:dyDescent="0.25">
      <c r="A61" s="1"/>
      <c r="B61" s="35" t="s">
        <v>62</v>
      </c>
      <c r="C61" s="30" t="s">
        <v>63</v>
      </c>
      <c r="D61" s="60" t="s">
        <v>120</v>
      </c>
      <c r="E61" s="66">
        <v>-1</v>
      </c>
      <c r="F61" s="63">
        <v>4</v>
      </c>
      <c r="G61" s="66">
        <v>-4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thickBot="1" x14ac:dyDescent="0.25">
      <c r="A62" s="1"/>
      <c r="B62" s="35" t="s">
        <v>64</v>
      </c>
      <c r="C62" s="30" t="s">
        <v>65</v>
      </c>
      <c r="D62" s="60" t="s">
        <v>153</v>
      </c>
      <c r="E62" s="66">
        <v>-1</v>
      </c>
      <c r="F62" s="63">
        <v>4</v>
      </c>
      <c r="G62" s="66">
        <v>-4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77" t="s">
        <v>66</v>
      </c>
      <c r="C63" s="78"/>
      <c r="D63" s="78"/>
      <c r="E63" s="78"/>
      <c r="F63" s="79"/>
      <c r="G63" s="16">
        <f>SUM(G55:G62)</f>
        <v>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77" t="s">
        <v>67</v>
      </c>
      <c r="C64" s="78"/>
      <c r="D64" s="78"/>
      <c r="E64" s="78"/>
      <c r="F64" s="79"/>
      <c r="G64" s="16">
        <f>1.4 + (-0.03*G63)</f>
        <v>1.22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20"/>
      <c r="C65" s="36"/>
      <c r="D65" s="37"/>
      <c r="E65" s="36"/>
      <c r="F65" s="38" t="s">
        <v>68</v>
      </c>
      <c r="G65" s="16">
        <f>COUNTIF($F$55:$F$60,"&lt;3")+COUNTIF($F$61:$F$62,"&gt;3")</f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2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5" t="s">
        <v>69</v>
      </c>
      <c r="B68" s="80" t="s">
        <v>70</v>
      </c>
      <c r="C68" s="78"/>
      <c r="D68" s="78"/>
      <c r="E68" s="78"/>
      <c r="F68" s="79"/>
      <c r="G68" s="39">
        <f>F33*G51*G64</f>
        <v>127.92919999999999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40" t="s">
        <v>71</v>
      </c>
      <c r="B71" s="17" t="s">
        <v>72</v>
      </c>
      <c r="C71" s="17" t="s">
        <v>73</v>
      </c>
      <c r="D71" s="17" t="s">
        <v>74</v>
      </c>
      <c r="E71" s="3"/>
      <c r="F71" s="1"/>
      <c r="G71" s="17" t="s">
        <v>75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41">
        <v>20</v>
      </c>
      <c r="C72" s="41">
        <f>IF($G$65&gt;=5,36,IF(AND(G$65&gt;2,$G$65&lt;=4),28, IF(AND($G$65&gt;=0,$G$65&lt;=2),20,"error")))</f>
        <v>28</v>
      </c>
      <c r="D72" s="42">
        <f>IF($G$65&gt;=5,$G$72*(36/20),IF(AND($G$65&gt;2,$G$65&lt;=4),$G$72*(28/20), IF(AND($G$65&gt;=0,$G$65&lt;=2),$G$72,"error")))</f>
        <v>3.5</v>
      </c>
      <c r="E72" s="3"/>
      <c r="F72" s="1"/>
      <c r="G72" s="43">
        <v>2.5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81" t="s">
        <v>76</v>
      </c>
      <c r="C73" s="78"/>
      <c r="D73" s="79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44" t="s">
        <v>77</v>
      </c>
      <c r="B74" s="41">
        <f t="shared" ref="B74:D74" si="0">$G$68*B72</f>
        <v>2558.5839999999998</v>
      </c>
      <c r="C74" s="41">
        <f t="shared" si="0"/>
        <v>3582.0175999999997</v>
      </c>
      <c r="D74" s="41">
        <f t="shared" si="0"/>
        <v>447.75219999999996</v>
      </c>
      <c r="E74" s="3"/>
      <c r="F74" s="1"/>
      <c r="G74" s="17" t="s">
        <v>91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44" t="s">
        <v>78</v>
      </c>
      <c r="B75" s="45">
        <f>B74/(22*G75)</f>
        <v>58.149636363636361</v>
      </c>
      <c r="C75" s="45">
        <f>C74/(22*G75)</f>
        <v>81.409490909090906</v>
      </c>
      <c r="D75" s="46">
        <f>D74/(22*G75)</f>
        <v>10.176186363636363</v>
      </c>
      <c r="E75" s="3"/>
      <c r="F75" s="1"/>
      <c r="G75" s="43">
        <v>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5" t="s">
        <v>93</v>
      </c>
      <c r="B78" s="47" t="s">
        <v>95</v>
      </c>
      <c r="C78" s="48"/>
      <c r="D78" s="37"/>
      <c r="E78" s="36"/>
      <c r="F78" s="4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29" t="s">
        <v>79</v>
      </c>
      <c r="C79" s="16" t="s">
        <v>80</v>
      </c>
      <c r="D79" s="39" t="s">
        <v>96</v>
      </c>
      <c r="E79" s="39" t="s">
        <v>97</v>
      </c>
      <c r="F79" s="39" t="s">
        <v>98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50" t="s">
        <v>84</v>
      </c>
      <c r="C80" s="51">
        <v>0.4</v>
      </c>
      <c r="D80" s="45">
        <f>+B74</f>
        <v>2558.5839999999998</v>
      </c>
      <c r="E80" s="45">
        <f>+C74</f>
        <v>3582.0175999999997</v>
      </c>
      <c r="F80" s="45">
        <f>+D74</f>
        <v>447.75219999999996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50" t="s">
        <v>85</v>
      </c>
      <c r="C81" s="51">
        <f>1-C80</f>
        <v>0.6</v>
      </c>
      <c r="D81" s="41">
        <f>+D80*1.5</f>
        <v>3837.8759999999997</v>
      </c>
      <c r="E81" s="41">
        <f t="shared" ref="E81:F81" si="1">+E80*1.5</f>
        <v>5373.0263999999997</v>
      </c>
      <c r="F81" s="41">
        <f t="shared" si="1"/>
        <v>671.62829999999997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52"/>
      <c r="C82" s="51">
        <f>SUM(C80:C81)</f>
        <v>1</v>
      </c>
      <c r="D82" s="45">
        <f>+D80+D81</f>
        <v>6396.4599999999991</v>
      </c>
      <c r="E82" s="45">
        <f t="shared" ref="E82:F82" si="2">+E80+E81</f>
        <v>8955.0439999999999</v>
      </c>
      <c r="F82" s="45">
        <f t="shared" si="2"/>
        <v>1119.3805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5" t="s">
        <v>94</v>
      </c>
      <c r="B84" s="47" t="s">
        <v>92</v>
      </c>
      <c r="C84" s="48"/>
      <c r="D84" s="37"/>
      <c r="E84" s="36"/>
      <c r="F84" s="4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29" t="s">
        <v>79</v>
      </c>
      <c r="C85" s="16" t="s">
        <v>80</v>
      </c>
      <c r="D85" s="39" t="s">
        <v>81</v>
      </c>
      <c r="E85" s="39" t="s">
        <v>82</v>
      </c>
      <c r="F85" s="39" t="s">
        <v>83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50" t="s">
        <v>84</v>
      </c>
      <c r="C86" s="51">
        <v>0.4</v>
      </c>
      <c r="D86" s="45">
        <f t="shared" ref="D86:F88" si="3">$C86/$C$86*B$75</f>
        <v>58.149636363636361</v>
      </c>
      <c r="E86" s="45">
        <f t="shared" si="3"/>
        <v>81.409490909090906</v>
      </c>
      <c r="F86" s="45">
        <f t="shared" si="3"/>
        <v>10.176186363636363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"/>
      <c r="B87" s="50" t="s">
        <v>85</v>
      </c>
      <c r="C87" s="51">
        <f>1-C86</f>
        <v>0.6</v>
      </c>
      <c r="D87" s="41">
        <f t="shared" si="3"/>
        <v>87.224454545454535</v>
      </c>
      <c r="E87" s="41">
        <f t="shared" si="3"/>
        <v>122.11423636363634</v>
      </c>
      <c r="F87" s="41">
        <f t="shared" si="3"/>
        <v>15.264279545454542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52"/>
      <c r="C88" s="51">
        <f>SUM(C86:C87)</f>
        <v>1</v>
      </c>
      <c r="D88" s="45">
        <f t="shared" si="3"/>
        <v>145.37409090909091</v>
      </c>
      <c r="E88" s="45">
        <f t="shared" si="3"/>
        <v>203.52372727272726</v>
      </c>
      <c r="F88" s="45">
        <f t="shared" si="3"/>
        <v>25.440465909090907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15" t="s">
        <v>86</v>
      </c>
      <c r="B90" s="18">
        <v>5</v>
      </c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75" customHeight="1" x14ac:dyDescent="0.2">
      <c r="A91" s="1"/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75" customHeight="1" x14ac:dyDescent="0.2">
      <c r="A92" s="15" t="s">
        <v>87</v>
      </c>
      <c r="B92" s="39" t="s">
        <v>88</v>
      </c>
      <c r="C92" s="39" t="s">
        <v>89</v>
      </c>
      <c r="D92" s="39" t="s">
        <v>90</v>
      </c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75" customHeight="1" x14ac:dyDescent="0.2">
      <c r="A93" s="53"/>
      <c r="B93" s="54">
        <f>$D$88/$B$90</f>
        <v>29.074818181818181</v>
      </c>
      <c r="C93" s="54">
        <f>$E$88/$B$90</f>
        <v>40.704745454545453</v>
      </c>
      <c r="D93" s="54">
        <f>$F$88/$B$90</f>
        <v>5.0880931818181816</v>
      </c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">
      <c r="A94" s="53"/>
      <c r="B94" s="53"/>
      <c r="C94" s="53"/>
      <c r="D94" s="53"/>
      <c r="E94" s="55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">
      <c r="A95" s="53"/>
      <c r="B95" s="53"/>
      <c r="C95" s="53"/>
      <c r="D95" s="53"/>
      <c r="E95" s="55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">
      <c r="A96" s="53"/>
      <c r="B96" s="53"/>
      <c r="C96" s="53"/>
      <c r="D96" s="53"/>
      <c r="E96" s="55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">
      <c r="A97" s="53"/>
      <c r="B97" s="53"/>
      <c r="C97" s="53"/>
      <c r="D97" s="53"/>
      <c r="E97" s="55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">
      <c r="A98" s="53"/>
      <c r="B98" s="53"/>
      <c r="C98" s="53"/>
      <c r="D98" s="53"/>
      <c r="E98" s="55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">
      <c r="A99" s="53"/>
      <c r="B99" s="53"/>
      <c r="C99" s="53"/>
      <c r="D99" s="53"/>
      <c r="E99" s="55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">
      <c r="A100" s="53"/>
      <c r="B100" s="53"/>
      <c r="C100" s="53"/>
      <c r="D100" s="53"/>
      <c r="E100" s="55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">
      <c r="A101" s="53"/>
      <c r="B101" s="53"/>
      <c r="C101" s="53"/>
      <c r="D101" s="53"/>
      <c r="E101" s="55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">
      <c r="A102" s="53"/>
      <c r="B102" s="53"/>
      <c r="C102" s="53"/>
      <c r="D102" s="53"/>
      <c r="E102" s="55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">
      <c r="A103" s="53"/>
      <c r="B103" s="53"/>
      <c r="C103" s="53"/>
      <c r="D103" s="53"/>
      <c r="E103" s="55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">
      <c r="A104" s="53"/>
      <c r="B104" s="53"/>
      <c r="C104" s="53"/>
      <c r="D104" s="53"/>
      <c r="E104" s="55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">
      <c r="A105" s="53"/>
      <c r="B105" s="53"/>
      <c r="C105" s="53"/>
      <c r="D105" s="53"/>
      <c r="E105" s="55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">
      <c r="A106" s="53"/>
      <c r="B106" s="53"/>
      <c r="C106" s="53"/>
      <c r="D106" s="53"/>
      <c r="E106" s="55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">
      <c r="A107" s="53"/>
      <c r="B107" s="53"/>
      <c r="C107" s="53"/>
      <c r="D107" s="53"/>
      <c r="E107" s="55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 x14ac:dyDescent="0.2">
      <c r="A108" s="53"/>
      <c r="B108" s="53"/>
      <c r="C108" s="53"/>
      <c r="D108" s="53"/>
      <c r="E108" s="55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 x14ac:dyDescent="0.2">
      <c r="A109" s="53"/>
      <c r="B109" s="53"/>
      <c r="C109" s="53"/>
      <c r="D109" s="53"/>
      <c r="E109" s="55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10">
    <mergeCell ref="B64:F64"/>
    <mergeCell ref="B68:F68"/>
    <mergeCell ref="B73:D73"/>
    <mergeCell ref="B2:G2"/>
    <mergeCell ref="C12:F12"/>
    <mergeCell ref="C30:E30"/>
    <mergeCell ref="C33:E33"/>
    <mergeCell ref="B50:F50"/>
    <mergeCell ref="B51:F51"/>
    <mergeCell ref="B63:F63"/>
  </mergeCells>
  <dataValidations count="1">
    <dataValidation type="decimal" allowBlank="1" showInputMessage="1" showErrorMessage="1" prompt="Entre 1 y 9 personas." sqref="B90" xr:uid="{00000000-0002-0000-0000-000001000000}">
      <formula1>1</formula1>
      <formula2>9</formula2>
    </dataValidation>
  </dataValidations>
  <hyperlinks>
    <hyperlink ref="H37" r:id="rId1" location="v=onepage&amp;q=e7%20part-time%20members&amp;f=false" xr:uid="{00000000-0004-0000-0000-000000000000}"/>
    <hyperlink ref="H55" r:id="rId2" location="v=onepage&amp;q=e7%20part-time%20members&amp;f=false" xr:uid="{00000000-0004-0000-0000-000001000000}"/>
  </hyperlinks>
  <pageMargins left="0.75" right="0.75" top="1" bottom="1" header="0" footer="0"/>
  <pageSetup orientation="portrait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9727-67A8-4DBC-89B3-F5850503542D}">
  <dimension ref="A1:Z1011"/>
  <sheetViews>
    <sheetView topLeftCell="A78" zoomScale="70" zoomScaleNormal="70" workbookViewId="0">
      <selection activeCell="I17" sqref="I17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3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 x14ac:dyDescent="0.25">
      <c r="A2" s="4"/>
      <c r="B2" s="82" t="s">
        <v>0</v>
      </c>
      <c r="C2" s="78"/>
      <c r="D2" s="78"/>
      <c r="E2" s="78"/>
      <c r="F2" s="78"/>
      <c r="G2" s="7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thickBot="1" x14ac:dyDescent="0.25">
      <c r="A3" s="4"/>
      <c r="B3" s="68" t="s">
        <v>1</v>
      </c>
      <c r="C3" s="69" t="s">
        <v>141</v>
      </c>
      <c r="D3" s="70"/>
      <c r="E3" s="70"/>
      <c r="F3" s="70"/>
      <c r="G3" s="71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thickBot="1" x14ac:dyDescent="0.25">
      <c r="A4" s="4"/>
      <c r="B4" s="72" t="s">
        <v>3</v>
      </c>
      <c r="C4" s="73" t="s">
        <v>142</v>
      </c>
      <c r="D4" s="74"/>
      <c r="E4" s="74"/>
      <c r="F4" s="74"/>
      <c r="G4" s="75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Bo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thickBot="1" x14ac:dyDescent="0.25">
      <c r="A8" s="1"/>
      <c r="B8" s="56" t="s">
        <v>99</v>
      </c>
      <c r="C8" s="57" t="s">
        <v>12</v>
      </c>
      <c r="D8" s="57" t="s">
        <v>100</v>
      </c>
      <c r="E8" s="58">
        <v>3</v>
      </c>
      <c r="F8" s="59">
        <v>1</v>
      </c>
      <c r="G8" s="58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 thickBot="1" x14ac:dyDescent="0.25">
      <c r="A9" s="1"/>
      <c r="B9" s="60" t="s">
        <v>138</v>
      </c>
      <c r="C9" s="61" t="s">
        <v>12</v>
      </c>
      <c r="D9" s="61" t="s">
        <v>139</v>
      </c>
      <c r="E9" s="62">
        <v>3</v>
      </c>
      <c r="F9" s="63">
        <v>1</v>
      </c>
      <c r="G9" s="62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thickBot="1" x14ac:dyDescent="0.25">
      <c r="A10" s="1"/>
      <c r="B10" s="60" t="s">
        <v>140</v>
      </c>
      <c r="C10" s="61" t="s">
        <v>12</v>
      </c>
      <c r="D10" s="61" t="s">
        <v>101</v>
      </c>
      <c r="E10" s="62">
        <v>3</v>
      </c>
      <c r="F10" s="63">
        <v>1</v>
      </c>
      <c r="G10" s="62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thickBot="1" x14ac:dyDescent="0.25">
      <c r="A11" s="1"/>
      <c r="B11" s="60"/>
      <c r="C11" s="61"/>
      <c r="D11" s="61"/>
      <c r="E11" s="62"/>
      <c r="F11" s="63"/>
      <c r="G11" s="6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9"/>
      <c r="C12" s="77" t="s">
        <v>15</v>
      </c>
      <c r="D12" s="78"/>
      <c r="E12" s="78"/>
      <c r="F12" s="79"/>
      <c r="G12" s="21">
        <f>SUM(G8:G11)</f>
        <v>3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2"/>
      <c r="D13" s="3"/>
      <c r="E13" s="3"/>
      <c r="F13" s="3"/>
      <c r="G13" s="23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4"/>
      <c r="D14" s="24"/>
      <c r="E14" s="25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thickBot="1" x14ac:dyDescent="0.25">
      <c r="A15" s="15" t="s">
        <v>16</v>
      </c>
      <c r="B15" s="16" t="s">
        <v>17</v>
      </c>
      <c r="C15" s="16" t="s">
        <v>18</v>
      </c>
      <c r="D15" s="17" t="s">
        <v>19</v>
      </c>
      <c r="E15" s="17" t="s">
        <v>20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6"/>
      <c r="U15" s="1"/>
      <c r="V15" s="1"/>
      <c r="W15" s="1"/>
      <c r="X15" s="1"/>
      <c r="Y15" s="1"/>
      <c r="Z15" s="1"/>
    </row>
    <row r="16" spans="1:26" ht="27.75" customHeight="1" thickBot="1" x14ac:dyDescent="0.3">
      <c r="A16" s="1"/>
      <c r="B16" s="86" t="s">
        <v>145</v>
      </c>
      <c r="C16" s="87"/>
      <c r="D16" s="88">
        <v>3</v>
      </c>
      <c r="E16" s="89" t="s">
        <v>14</v>
      </c>
      <c r="F16" s="89">
        <v>5</v>
      </c>
      <c r="G16" s="1"/>
      <c r="H16" s="1"/>
      <c r="I16" s="1"/>
      <c r="J16" s="1"/>
      <c r="K16" s="26"/>
      <c r="L16" s="1"/>
      <c r="M16" s="1"/>
      <c r="N16" s="1"/>
      <c r="O16" s="1"/>
      <c r="P16" s="1"/>
      <c r="Q16" s="1"/>
      <c r="R16" s="1"/>
      <c r="S16" s="1"/>
      <c r="T16" s="26"/>
      <c r="U16" s="1"/>
      <c r="V16" s="1"/>
      <c r="W16" s="1"/>
      <c r="X16" s="1"/>
      <c r="Y16" s="1"/>
      <c r="Z16" s="1"/>
    </row>
    <row r="17" spans="1:26" ht="27.75" customHeight="1" thickBot="1" x14ac:dyDescent="0.3">
      <c r="A17" s="1"/>
      <c r="B17" s="90" t="s">
        <v>143</v>
      </c>
      <c r="C17" s="91"/>
      <c r="D17" s="92">
        <v>6</v>
      </c>
      <c r="E17" s="93" t="s">
        <v>13</v>
      </c>
      <c r="F17" s="93">
        <v>10</v>
      </c>
      <c r="G17" s="1"/>
      <c r="H17" s="1"/>
      <c r="I17" s="1"/>
      <c r="J17" s="1"/>
      <c r="K17" s="26"/>
      <c r="L17" s="1"/>
      <c r="M17" s="1"/>
      <c r="N17" s="1"/>
      <c r="O17" s="1"/>
      <c r="P17" s="1"/>
      <c r="Q17" s="1"/>
      <c r="R17" s="1"/>
      <c r="S17" s="1"/>
      <c r="T17" s="26"/>
      <c r="U17" s="1"/>
      <c r="V17" s="1"/>
      <c r="W17" s="1"/>
      <c r="X17" s="1"/>
      <c r="Y17" s="1"/>
      <c r="Z17" s="1"/>
    </row>
    <row r="18" spans="1:26" ht="27.75" customHeight="1" thickBot="1" x14ac:dyDescent="0.3">
      <c r="A18" s="1"/>
      <c r="B18" s="90" t="s">
        <v>144</v>
      </c>
      <c r="C18" s="91"/>
      <c r="D18" s="92">
        <v>8</v>
      </c>
      <c r="E18" s="93" t="s">
        <v>12</v>
      </c>
      <c r="F18" s="93">
        <v>15</v>
      </c>
      <c r="G18" s="1"/>
      <c r="H18" s="1"/>
      <c r="I18" s="1"/>
      <c r="J18" s="1"/>
      <c r="K18" s="26"/>
      <c r="L18" s="1"/>
      <c r="M18" s="1"/>
      <c r="N18" s="1"/>
      <c r="O18" s="1"/>
      <c r="P18" s="1"/>
      <c r="Q18" s="1"/>
      <c r="R18" s="1"/>
      <c r="S18" s="1"/>
      <c r="T18" s="26"/>
      <c r="U18" s="1"/>
      <c r="V18" s="1"/>
      <c r="W18" s="1"/>
      <c r="X18" s="1"/>
      <c r="Y18" s="1"/>
      <c r="Z18" s="1"/>
    </row>
    <row r="19" spans="1:26" ht="27.75" customHeight="1" thickBot="1" x14ac:dyDescent="0.3">
      <c r="A19" s="1"/>
      <c r="B19" s="90" t="s">
        <v>155</v>
      </c>
      <c r="C19" s="91"/>
      <c r="D19" s="92">
        <v>3</v>
      </c>
      <c r="E19" s="93" t="s">
        <v>14</v>
      </c>
      <c r="F19" s="93">
        <v>5</v>
      </c>
      <c r="G19" s="1"/>
      <c r="H19" s="1"/>
      <c r="I19" s="1"/>
      <c r="J19" s="1"/>
      <c r="K19" s="26"/>
      <c r="L19" s="1"/>
      <c r="M19" s="1"/>
      <c r="N19" s="1"/>
      <c r="O19" s="1"/>
      <c r="P19" s="1"/>
      <c r="Q19" s="1"/>
      <c r="R19" s="1"/>
      <c r="S19" s="1"/>
      <c r="T19" s="26"/>
      <c r="U19" s="1"/>
      <c r="V19" s="1"/>
      <c r="W19" s="1"/>
      <c r="X19" s="1"/>
      <c r="Y19" s="1"/>
      <c r="Z19" s="1"/>
    </row>
    <row r="20" spans="1:26" ht="27.75" customHeight="1" thickBot="1" x14ac:dyDescent="0.3">
      <c r="A20" s="1"/>
      <c r="B20" s="90" t="s">
        <v>146</v>
      </c>
      <c r="C20" s="91"/>
      <c r="D20" s="92">
        <v>10</v>
      </c>
      <c r="E20" s="93" t="s">
        <v>12</v>
      </c>
      <c r="F20" s="93">
        <v>15</v>
      </c>
      <c r="G20" s="1"/>
      <c r="H20" s="1"/>
      <c r="I20" s="1"/>
      <c r="J20" s="1"/>
      <c r="K20" s="26"/>
      <c r="L20" s="1"/>
      <c r="M20" s="1"/>
      <c r="N20" s="1"/>
      <c r="O20" s="1"/>
      <c r="P20" s="1"/>
      <c r="Q20" s="1"/>
      <c r="R20" s="1"/>
      <c r="S20" s="1"/>
      <c r="T20" s="26"/>
      <c r="U20" s="1"/>
      <c r="V20" s="1"/>
      <c r="W20" s="1"/>
      <c r="X20" s="1"/>
      <c r="Y20" s="1"/>
      <c r="Z20" s="1"/>
    </row>
    <row r="21" spans="1:26" ht="27.75" customHeight="1" thickBot="1" x14ac:dyDescent="0.3">
      <c r="A21" s="1"/>
      <c r="B21" s="90" t="s">
        <v>147</v>
      </c>
      <c r="C21" s="91"/>
      <c r="D21" s="92">
        <v>4</v>
      </c>
      <c r="E21" s="93" t="s">
        <v>13</v>
      </c>
      <c r="F21" s="93">
        <v>10</v>
      </c>
      <c r="G21" s="1"/>
      <c r="H21" s="1"/>
      <c r="I21" s="1"/>
      <c r="J21" s="1"/>
      <c r="K21" s="26"/>
      <c r="L21" s="1"/>
      <c r="M21" s="1"/>
      <c r="N21" s="1"/>
      <c r="O21" s="1"/>
      <c r="P21" s="1"/>
      <c r="Q21" s="1"/>
      <c r="R21" s="1"/>
      <c r="S21" s="1"/>
      <c r="T21" s="26"/>
      <c r="U21" s="1"/>
      <c r="V21" s="1"/>
      <c r="W21" s="1"/>
      <c r="X21" s="1"/>
      <c r="Y21" s="1"/>
      <c r="Z21" s="1"/>
    </row>
    <row r="22" spans="1:26" ht="27.75" customHeight="1" thickBot="1" x14ac:dyDescent="0.3">
      <c r="A22" s="1"/>
      <c r="B22" s="90" t="s">
        <v>148</v>
      </c>
      <c r="C22" s="91"/>
      <c r="D22" s="92">
        <v>4</v>
      </c>
      <c r="E22" s="93" t="s">
        <v>13</v>
      </c>
      <c r="F22" s="93">
        <v>10</v>
      </c>
      <c r="G22" s="1"/>
      <c r="H22" s="1"/>
      <c r="I22" s="1"/>
      <c r="J22" s="1"/>
      <c r="K22" s="26"/>
      <c r="L22" s="1"/>
      <c r="M22" s="1"/>
      <c r="N22" s="1"/>
      <c r="O22" s="1"/>
      <c r="P22" s="1"/>
      <c r="Q22" s="1"/>
      <c r="R22" s="1"/>
      <c r="S22" s="1"/>
      <c r="T22" s="26"/>
      <c r="U22" s="1"/>
      <c r="V22" s="1"/>
      <c r="W22" s="1"/>
      <c r="X22" s="1"/>
      <c r="Y22" s="1"/>
      <c r="Z22" s="1"/>
    </row>
    <row r="23" spans="1:26" ht="27.75" customHeight="1" thickBot="1" x14ac:dyDescent="0.3">
      <c r="A23" s="1"/>
      <c r="B23" s="90" t="s">
        <v>102</v>
      </c>
      <c r="C23" s="91"/>
      <c r="D23" s="92">
        <v>3</v>
      </c>
      <c r="E23" s="93" t="s">
        <v>14</v>
      </c>
      <c r="F23" s="93">
        <v>5</v>
      </c>
      <c r="G23" s="1"/>
      <c r="H23" s="1"/>
      <c r="I23" s="1"/>
      <c r="J23" s="1"/>
      <c r="K23" s="26"/>
      <c r="L23" s="1"/>
      <c r="M23" s="1"/>
      <c r="N23" s="1"/>
      <c r="O23" s="1"/>
      <c r="P23" s="1"/>
      <c r="Q23" s="1"/>
      <c r="R23" s="1"/>
      <c r="S23" s="1"/>
      <c r="T23" s="26"/>
      <c r="U23" s="1"/>
      <c r="V23" s="1"/>
      <c r="W23" s="1"/>
      <c r="X23" s="1"/>
      <c r="Y23" s="1"/>
      <c r="Z23" s="1"/>
    </row>
    <row r="24" spans="1:26" ht="27.75" customHeight="1" thickBot="1" x14ac:dyDescent="0.3">
      <c r="A24" s="1"/>
      <c r="B24" s="90" t="s">
        <v>149</v>
      </c>
      <c r="C24" s="91"/>
      <c r="D24" s="92">
        <v>3</v>
      </c>
      <c r="E24" s="93" t="s">
        <v>14</v>
      </c>
      <c r="F24" s="93">
        <v>5</v>
      </c>
      <c r="G24" s="1"/>
      <c r="H24" s="1"/>
      <c r="I24" s="1"/>
      <c r="J24" s="1"/>
      <c r="K24" s="26"/>
      <c r="L24" s="1"/>
      <c r="M24" s="1"/>
      <c r="N24" s="1"/>
      <c r="O24" s="1"/>
      <c r="P24" s="1"/>
      <c r="Q24" s="1"/>
      <c r="R24" s="1"/>
      <c r="S24" s="1"/>
      <c r="T24" s="26"/>
      <c r="U24" s="1"/>
      <c r="V24" s="1"/>
      <c r="W24" s="1"/>
      <c r="X24" s="1"/>
      <c r="Y24" s="1"/>
      <c r="Z24" s="1"/>
    </row>
    <row r="25" spans="1:26" ht="27.75" customHeight="1" thickBot="1" x14ac:dyDescent="0.3">
      <c r="A25" s="1"/>
      <c r="B25" s="90" t="s">
        <v>150</v>
      </c>
      <c r="C25" s="91"/>
      <c r="D25" s="92">
        <v>4</v>
      </c>
      <c r="E25" s="93" t="s">
        <v>13</v>
      </c>
      <c r="F25" s="93">
        <v>10</v>
      </c>
      <c r="G25" s="1"/>
      <c r="H25" s="1"/>
      <c r="I25" s="1"/>
      <c r="J25" s="1"/>
      <c r="K25" s="26"/>
      <c r="L25" s="1"/>
      <c r="M25" s="1"/>
      <c r="N25" s="1"/>
      <c r="O25" s="1"/>
      <c r="P25" s="1"/>
      <c r="Q25" s="1"/>
      <c r="R25" s="1"/>
      <c r="S25" s="1"/>
      <c r="T25" s="26"/>
      <c r="U25" s="1"/>
      <c r="V25" s="1"/>
      <c r="W25" s="1"/>
      <c r="X25" s="1"/>
      <c r="Y25" s="1"/>
      <c r="Z25" s="1"/>
    </row>
    <row r="26" spans="1:26" ht="27.75" customHeight="1" thickBot="1" x14ac:dyDescent="0.3">
      <c r="A26" s="1"/>
      <c r="B26" s="90" t="s">
        <v>151</v>
      </c>
      <c r="C26" s="91"/>
      <c r="D26" s="92">
        <v>3</v>
      </c>
      <c r="E26" s="93" t="s">
        <v>14</v>
      </c>
      <c r="F26" s="93">
        <v>5</v>
      </c>
      <c r="G26" s="1"/>
      <c r="H26" s="1"/>
      <c r="I26" s="1"/>
      <c r="J26" s="1"/>
      <c r="K26" s="26"/>
      <c r="L26" s="1"/>
      <c r="M26" s="1"/>
      <c r="N26" s="1"/>
      <c r="O26" s="1"/>
      <c r="P26" s="1"/>
      <c r="Q26" s="1"/>
      <c r="R26" s="1"/>
      <c r="S26" s="1"/>
      <c r="T26" s="26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27"/>
      <c r="C27" s="83" t="s">
        <v>21</v>
      </c>
      <c r="D27" s="84"/>
      <c r="E27" s="85"/>
      <c r="F27" s="28">
        <f>SUM(F16:F26)</f>
        <v>95</v>
      </c>
      <c r="G27" s="1"/>
      <c r="H27" s="15"/>
      <c r="I27" s="1"/>
      <c r="J27" s="1"/>
      <c r="K27" s="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5" t="s">
        <v>22</v>
      </c>
      <c r="B30" s="29"/>
      <c r="C30" s="77" t="s">
        <v>23</v>
      </c>
      <c r="D30" s="78"/>
      <c r="E30" s="79"/>
      <c r="F30" s="21">
        <f>G12+F27</f>
        <v>98</v>
      </c>
      <c r="G30" s="1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thickBot="1" x14ac:dyDescent="0.25">
      <c r="A33" s="15" t="s">
        <v>24</v>
      </c>
      <c r="B33" s="17" t="s">
        <v>25</v>
      </c>
      <c r="C33" s="17" t="s">
        <v>26</v>
      </c>
      <c r="D33" s="16" t="s">
        <v>27</v>
      </c>
      <c r="E33" s="16" t="s">
        <v>9</v>
      </c>
      <c r="F33" s="16" t="s">
        <v>28</v>
      </c>
      <c r="G33" s="16" t="s">
        <v>29</v>
      </c>
      <c r="H33" s="1" t="s">
        <v>30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7.75" customHeight="1" thickBot="1" x14ac:dyDescent="0.25">
      <c r="A34" s="1"/>
      <c r="B34" s="30" t="s">
        <v>31</v>
      </c>
      <c r="C34" s="30" t="s">
        <v>32</v>
      </c>
      <c r="D34" s="56" t="s">
        <v>103</v>
      </c>
      <c r="E34" s="65">
        <v>2</v>
      </c>
      <c r="F34" s="59">
        <v>0</v>
      </c>
      <c r="G34" s="65">
        <v>0</v>
      </c>
      <c r="H34" s="3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thickBot="1" x14ac:dyDescent="0.25">
      <c r="A35" s="1"/>
      <c r="B35" s="30" t="s">
        <v>34</v>
      </c>
      <c r="C35" s="30" t="s">
        <v>32</v>
      </c>
      <c r="D35" s="60" t="s">
        <v>104</v>
      </c>
      <c r="E35" s="66">
        <v>2</v>
      </c>
      <c r="F35" s="63">
        <v>5</v>
      </c>
      <c r="G35" s="66">
        <v>10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thickBot="1" x14ac:dyDescent="0.25">
      <c r="A36" s="1"/>
      <c r="B36" s="30" t="s">
        <v>35</v>
      </c>
      <c r="C36" s="30" t="s">
        <v>32</v>
      </c>
      <c r="D36" s="67"/>
      <c r="E36" s="66">
        <v>1</v>
      </c>
      <c r="F36" s="63">
        <v>5</v>
      </c>
      <c r="G36" s="66">
        <v>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25">
      <c r="A37" s="1"/>
      <c r="B37" s="30" t="s">
        <v>36</v>
      </c>
      <c r="C37" s="30" t="s">
        <v>32</v>
      </c>
      <c r="D37" s="60" t="s">
        <v>105</v>
      </c>
      <c r="E37" s="66">
        <v>1</v>
      </c>
      <c r="F37" s="63">
        <v>3</v>
      </c>
      <c r="G37" s="66">
        <v>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thickBot="1" x14ac:dyDescent="0.25">
      <c r="A38" s="1"/>
      <c r="B38" s="30" t="s">
        <v>37</v>
      </c>
      <c r="C38" s="30" t="s">
        <v>32</v>
      </c>
      <c r="D38" s="60" t="s">
        <v>106</v>
      </c>
      <c r="E38" s="66">
        <v>1</v>
      </c>
      <c r="F38" s="63">
        <v>0</v>
      </c>
      <c r="G38" s="66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thickBot="1" x14ac:dyDescent="0.25">
      <c r="A39" s="1"/>
      <c r="B39" s="30" t="s">
        <v>38</v>
      </c>
      <c r="C39" s="30" t="s">
        <v>32</v>
      </c>
      <c r="D39" s="60" t="s">
        <v>107</v>
      </c>
      <c r="E39" s="66" t="s">
        <v>121</v>
      </c>
      <c r="F39" s="63">
        <v>3</v>
      </c>
      <c r="G39" s="66" t="s">
        <v>122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thickBot="1" x14ac:dyDescent="0.25">
      <c r="A40" s="1"/>
      <c r="B40" s="30" t="s">
        <v>39</v>
      </c>
      <c r="C40" s="30" t="s">
        <v>32</v>
      </c>
      <c r="D40" s="60" t="s">
        <v>108</v>
      </c>
      <c r="E40" s="66" t="s">
        <v>121</v>
      </c>
      <c r="F40" s="63">
        <v>5</v>
      </c>
      <c r="G40" s="66" t="s">
        <v>123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thickBot="1" x14ac:dyDescent="0.25">
      <c r="A41" s="1"/>
      <c r="B41" s="30" t="s">
        <v>40</v>
      </c>
      <c r="C41" s="30" t="s">
        <v>32</v>
      </c>
      <c r="D41" s="60" t="s">
        <v>109</v>
      </c>
      <c r="E41" s="66">
        <v>2</v>
      </c>
      <c r="F41" s="63">
        <v>3</v>
      </c>
      <c r="G41" s="66">
        <v>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thickBot="1" x14ac:dyDescent="0.25">
      <c r="A42" s="1"/>
      <c r="B42" s="30" t="s">
        <v>41</v>
      </c>
      <c r="C42" s="30" t="s">
        <v>32</v>
      </c>
      <c r="D42" s="60" t="s">
        <v>124</v>
      </c>
      <c r="E42" s="66">
        <v>1</v>
      </c>
      <c r="F42" s="63">
        <v>0</v>
      </c>
      <c r="G42" s="66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thickBot="1" x14ac:dyDescent="0.25">
      <c r="A43" s="1"/>
      <c r="B43" s="30" t="s">
        <v>42</v>
      </c>
      <c r="C43" s="30" t="s">
        <v>32</v>
      </c>
      <c r="D43" s="67"/>
      <c r="E43" s="66">
        <v>1</v>
      </c>
      <c r="F43" s="63">
        <v>5</v>
      </c>
      <c r="G43" s="66"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 x14ac:dyDescent="0.25">
      <c r="A44" s="1"/>
      <c r="B44" s="30" t="s">
        <v>43</v>
      </c>
      <c r="C44" s="30" t="s">
        <v>32</v>
      </c>
      <c r="D44" s="60" t="s">
        <v>112</v>
      </c>
      <c r="E44" s="66">
        <v>1</v>
      </c>
      <c r="F44" s="63">
        <v>5</v>
      </c>
      <c r="G44" s="66">
        <v>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25">
      <c r="A45" s="1"/>
      <c r="B45" s="30" t="s">
        <v>44</v>
      </c>
      <c r="C45" s="30" t="s">
        <v>32</v>
      </c>
      <c r="D45" s="60" t="s">
        <v>113</v>
      </c>
      <c r="E45" s="66">
        <v>1</v>
      </c>
      <c r="F45" s="63">
        <v>5</v>
      </c>
      <c r="G45" s="66"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 x14ac:dyDescent="0.25">
      <c r="A46" s="1"/>
      <c r="B46" s="30" t="s">
        <v>45</v>
      </c>
      <c r="C46" s="30" t="s">
        <v>32</v>
      </c>
      <c r="D46" s="60" t="s">
        <v>114</v>
      </c>
      <c r="E46" s="66">
        <v>1</v>
      </c>
      <c r="F46" s="63">
        <v>4</v>
      </c>
      <c r="G46" s="66">
        <v>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">
      <c r="A47" s="1"/>
      <c r="B47" s="77" t="s">
        <v>46</v>
      </c>
      <c r="C47" s="78"/>
      <c r="D47" s="78"/>
      <c r="E47" s="78"/>
      <c r="F47" s="79"/>
      <c r="G47" s="32">
        <f>SUM(G34:G46)</f>
        <v>43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75" customHeight="1" x14ac:dyDescent="0.2">
      <c r="A48" s="1"/>
      <c r="B48" s="77" t="s">
        <v>47</v>
      </c>
      <c r="C48" s="78"/>
      <c r="D48" s="78"/>
      <c r="E48" s="78"/>
      <c r="F48" s="79"/>
      <c r="G48" s="28">
        <f>0.6+(0.01*G47)</f>
        <v>1.03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2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33"/>
      <c r="C50" s="33"/>
      <c r="D50" s="34"/>
      <c r="E50" s="33"/>
      <c r="F50" s="33"/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25">
      <c r="A51" s="15" t="s">
        <v>48</v>
      </c>
      <c r="B51" s="17" t="s">
        <v>49</v>
      </c>
      <c r="C51" s="17" t="s">
        <v>50</v>
      </c>
      <c r="D51" s="16" t="s">
        <v>51</v>
      </c>
      <c r="E51" s="16" t="s">
        <v>9</v>
      </c>
      <c r="F51" s="16" t="s">
        <v>28</v>
      </c>
      <c r="G51" s="16" t="s">
        <v>29</v>
      </c>
      <c r="H51" s="1" t="s">
        <v>52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thickBot="1" x14ac:dyDescent="0.25">
      <c r="A52" s="1"/>
      <c r="B52" s="35" t="s">
        <v>53</v>
      </c>
      <c r="C52" s="30" t="s">
        <v>54</v>
      </c>
      <c r="D52" s="56" t="s">
        <v>125</v>
      </c>
      <c r="E52" s="65" t="s">
        <v>122</v>
      </c>
      <c r="F52" s="59">
        <v>3</v>
      </c>
      <c r="G52" s="65" t="s">
        <v>126</v>
      </c>
      <c r="H52" s="31" t="s">
        <v>33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thickBot="1" x14ac:dyDescent="0.25">
      <c r="A53" s="1"/>
      <c r="B53" s="35" t="s">
        <v>55</v>
      </c>
      <c r="C53" s="30" t="s">
        <v>54</v>
      </c>
      <c r="D53" s="60" t="s">
        <v>127</v>
      </c>
      <c r="E53" s="66" t="s">
        <v>121</v>
      </c>
      <c r="F53" s="63">
        <v>3</v>
      </c>
      <c r="G53" s="66" t="s">
        <v>122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25">
      <c r="A54" s="1"/>
      <c r="B54" s="35" t="s">
        <v>56</v>
      </c>
      <c r="C54" s="30" t="s">
        <v>54</v>
      </c>
      <c r="D54" s="60" t="s">
        <v>128</v>
      </c>
      <c r="E54" s="66">
        <v>1</v>
      </c>
      <c r="F54" s="63">
        <v>3</v>
      </c>
      <c r="G54" s="66">
        <v>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25">
      <c r="A55" s="1"/>
      <c r="B55" s="35" t="s">
        <v>57</v>
      </c>
      <c r="C55" s="30" t="s">
        <v>54</v>
      </c>
      <c r="D55" s="60" t="s">
        <v>129</v>
      </c>
      <c r="E55" s="66" t="s">
        <v>121</v>
      </c>
      <c r="F55" s="63">
        <v>2</v>
      </c>
      <c r="G55" s="66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75" customHeight="1" thickBot="1" x14ac:dyDescent="0.25">
      <c r="A56" s="1"/>
      <c r="B56" s="35" t="s">
        <v>58</v>
      </c>
      <c r="C56" s="30" t="s">
        <v>59</v>
      </c>
      <c r="D56" s="60" t="s">
        <v>130</v>
      </c>
      <c r="E56" s="66">
        <v>1</v>
      </c>
      <c r="F56" s="63">
        <v>3</v>
      </c>
      <c r="G56" s="66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25">
      <c r="A57" s="1"/>
      <c r="B57" s="35" t="s">
        <v>60</v>
      </c>
      <c r="C57" s="30" t="s">
        <v>61</v>
      </c>
      <c r="D57" s="60" t="s">
        <v>131</v>
      </c>
      <c r="E57" s="66">
        <v>2</v>
      </c>
      <c r="F57" s="63">
        <v>4</v>
      </c>
      <c r="G57" s="66">
        <v>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thickBot="1" x14ac:dyDescent="0.25">
      <c r="A58" s="1"/>
      <c r="B58" s="35" t="s">
        <v>62</v>
      </c>
      <c r="C58" s="30" t="s">
        <v>63</v>
      </c>
      <c r="D58" s="60" t="s">
        <v>120</v>
      </c>
      <c r="E58" s="66">
        <v>-1</v>
      </c>
      <c r="F58" s="63">
        <v>2</v>
      </c>
      <c r="G58" s="66">
        <v>-2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thickBot="1" x14ac:dyDescent="0.25">
      <c r="A59" s="1"/>
      <c r="B59" s="35" t="s">
        <v>64</v>
      </c>
      <c r="C59" s="30" t="s">
        <v>65</v>
      </c>
      <c r="D59" s="60" t="s">
        <v>154</v>
      </c>
      <c r="E59" s="66">
        <v>-1</v>
      </c>
      <c r="F59" s="63">
        <v>4</v>
      </c>
      <c r="G59" s="66">
        <v>-4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77" t="s">
        <v>66</v>
      </c>
      <c r="C60" s="78"/>
      <c r="D60" s="78"/>
      <c r="E60" s="78"/>
      <c r="F60" s="79"/>
      <c r="G60" s="16">
        <f>SUM(G52:G59)</f>
        <v>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">
      <c r="A61" s="1"/>
      <c r="B61" s="77" t="s">
        <v>67</v>
      </c>
      <c r="C61" s="78"/>
      <c r="D61" s="78"/>
      <c r="E61" s="78"/>
      <c r="F61" s="79"/>
      <c r="G61" s="16">
        <f>1.4 + (-0.03*G60)</f>
        <v>1.1299999999999999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20"/>
      <c r="C62" s="36"/>
      <c r="D62" s="37"/>
      <c r="E62" s="36"/>
      <c r="F62" s="38" t="s">
        <v>68</v>
      </c>
      <c r="G62" s="16">
        <f>COUNTIF($F$52:$F$57,"&lt;3")+COUNTIF($F$58:$F$59,"&gt;3")</f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2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5" t="s">
        <v>69</v>
      </c>
      <c r="B65" s="80" t="s">
        <v>70</v>
      </c>
      <c r="C65" s="78"/>
      <c r="D65" s="78"/>
      <c r="E65" s="78"/>
      <c r="F65" s="79"/>
      <c r="G65" s="39">
        <f>F30*G48*G61</f>
        <v>114.06219999999999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40" t="s">
        <v>71</v>
      </c>
      <c r="B68" s="17" t="s">
        <v>72</v>
      </c>
      <c r="C68" s="17" t="s">
        <v>73</v>
      </c>
      <c r="D68" s="17" t="s">
        <v>74</v>
      </c>
      <c r="E68" s="3"/>
      <c r="F68" s="1"/>
      <c r="G68" s="17" t="s">
        <v>75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41">
        <v>20</v>
      </c>
      <c r="C69" s="41">
        <f>IF($G$62&gt;=5,36,IF(AND(G$62&gt;2,$G$62&lt;=4),28, IF(AND($G$62&gt;=0,$G$62&lt;=2),20,"error")))</f>
        <v>20</v>
      </c>
      <c r="D69" s="42">
        <f>IF($G$62&gt;=5,$G$69*(36/20),IF(AND($G$62&gt;2,$G$62&lt;=4),$G$69*(28/20), IF(AND($G$62&gt;=0,$G$62&lt;=2),$G$69,"error")))</f>
        <v>2.5</v>
      </c>
      <c r="E69" s="3"/>
      <c r="F69" s="1"/>
      <c r="G69" s="43">
        <v>2.5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81" t="s">
        <v>76</v>
      </c>
      <c r="C70" s="78"/>
      <c r="D70" s="79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44" t="s">
        <v>77</v>
      </c>
      <c r="B71" s="41">
        <f t="shared" ref="B71:D71" si="0">$G$65*B69</f>
        <v>2281.2439999999997</v>
      </c>
      <c r="C71" s="41">
        <f t="shared" si="0"/>
        <v>2281.2439999999997</v>
      </c>
      <c r="D71" s="41">
        <f t="shared" si="0"/>
        <v>285.15549999999996</v>
      </c>
      <c r="E71" s="3"/>
      <c r="F71" s="1"/>
      <c r="G71" s="17" t="s">
        <v>91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44" t="s">
        <v>78</v>
      </c>
      <c r="B72" s="45">
        <f>B71/(22*G72)</f>
        <v>51.846454545454542</v>
      </c>
      <c r="C72" s="45">
        <f>C71/(22*G72)</f>
        <v>51.846454545454542</v>
      </c>
      <c r="D72" s="46">
        <f>D71/(22*G72)</f>
        <v>6.4808068181818177</v>
      </c>
      <c r="E72" s="3"/>
      <c r="F72" s="1"/>
      <c r="G72" s="43">
        <v>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5" t="s">
        <v>93</v>
      </c>
      <c r="B75" s="47" t="s">
        <v>95</v>
      </c>
      <c r="C75" s="48"/>
      <c r="D75" s="37"/>
      <c r="E75" s="36"/>
      <c r="F75" s="4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29" t="s">
        <v>79</v>
      </c>
      <c r="C76" s="16" t="s">
        <v>80</v>
      </c>
      <c r="D76" s="39" t="s">
        <v>96</v>
      </c>
      <c r="E76" s="39" t="s">
        <v>97</v>
      </c>
      <c r="F76" s="39" t="s">
        <v>98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50" t="s">
        <v>84</v>
      </c>
      <c r="C77" s="51">
        <v>0.4</v>
      </c>
      <c r="D77" s="45">
        <f>+B71</f>
        <v>2281.2439999999997</v>
      </c>
      <c r="E77" s="45">
        <f>+C71</f>
        <v>2281.2439999999997</v>
      </c>
      <c r="F77" s="45">
        <f>+D71</f>
        <v>285.15549999999996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50" t="s">
        <v>85</v>
      </c>
      <c r="C78" s="51">
        <f>1-C77</f>
        <v>0.6</v>
      </c>
      <c r="D78" s="41">
        <f>+D77*1.5</f>
        <v>3421.8659999999995</v>
      </c>
      <c r="E78" s="41">
        <f t="shared" ref="E78:F78" si="1">+E77*1.5</f>
        <v>3421.8659999999995</v>
      </c>
      <c r="F78" s="41">
        <f t="shared" si="1"/>
        <v>427.73324999999994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2"/>
      <c r="C79" s="51">
        <f>SUM(C77:C78)</f>
        <v>1</v>
      </c>
      <c r="D79" s="45">
        <f>+D77+D78</f>
        <v>5703.1099999999988</v>
      </c>
      <c r="E79" s="45">
        <f t="shared" ref="E79:F79" si="2">+E77+E78</f>
        <v>5703.1099999999988</v>
      </c>
      <c r="F79" s="45">
        <f t="shared" si="2"/>
        <v>712.88874999999985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5" t="s">
        <v>94</v>
      </c>
      <c r="B81" s="47" t="s">
        <v>92</v>
      </c>
      <c r="C81" s="48"/>
      <c r="D81" s="37"/>
      <c r="E81" s="36"/>
      <c r="F81" s="4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29" t="s">
        <v>79</v>
      </c>
      <c r="C82" s="16" t="s">
        <v>80</v>
      </c>
      <c r="D82" s="39" t="s">
        <v>81</v>
      </c>
      <c r="E82" s="39" t="s">
        <v>82</v>
      </c>
      <c r="F82" s="39" t="s">
        <v>83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50" t="s">
        <v>84</v>
      </c>
      <c r="C83" s="51">
        <v>0.4</v>
      </c>
      <c r="D83" s="45">
        <f t="shared" ref="D83:F85" si="3">$C83/$C$83*B$72</f>
        <v>51.846454545454542</v>
      </c>
      <c r="E83" s="45">
        <f t="shared" si="3"/>
        <v>51.846454545454542</v>
      </c>
      <c r="F83" s="45">
        <f t="shared" si="3"/>
        <v>6.4808068181818177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50" t="s">
        <v>85</v>
      </c>
      <c r="C84" s="51">
        <f>1-C83</f>
        <v>0.6</v>
      </c>
      <c r="D84" s="41">
        <f t="shared" si="3"/>
        <v>77.769681818181795</v>
      </c>
      <c r="E84" s="41">
        <f t="shared" si="3"/>
        <v>77.769681818181795</v>
      </c>
      <c r="F84" s="41">
        <f t="shared" si="3"/>
        <v>9.7212102272727243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52"/>
      <c r="C85" s="51">
        <f>SUM(C83:C84)</f>
        <v>1</v>
      </c>
      <c r="D85" s="45">
        <f t="shared" si="3"/>
        <v>129.61613636363634</v>
      </c>
      <c r="E85" s="45">
        <f t="shared" si="3"/>
        <v>129.61613636363634</v>
      </c>
      <c r="F85" s="45">
        <f t="shared" si="3"/>
        <v>16.202017045454543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1"/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5" t="s">
        <v>86</v>
      </c>
      <c r="B87" s="18">
        <v>5</v>
      </c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5" t="s">
        <v>87</v>
      </c>
      <c r="B89" s="39" t="s">
        <v>88</v>
      </c>
      <c r="C89" s="39" t="s">
        <v>89</v>
      </c>
      <c r="D89" s="39" t="s">
        <v>90</v>
      </c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53"/>
      <c r="B90" s="54">
        <f>$D$85/$B$87</f>
        <v>25.923227272727267</v>
      </c>
      <c r="C90" s="54">
        <f>$E$85/$B$87</f>
        <v>25.923227272727267</v>
      </c>
      <c r="D90" s="54">
        <f>$F$85/$B$87</f>
        <v>3.2404034090909084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">
      <c r="A91" s="53"/>
      <c r="B91" s="53"/>
      <c r="C91" s="53"/>
      <c r="D91" s="53"/>
      <c r="E91" s="55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">
      <c r="A92" s="53"/>
      <c r="B92" s="53"/>
      <c r="C92" s="53"/>
      <c r="D92" s="53"/>
      <c r="E92" s="55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">
      <c r="A93" s="53"/>
      <c r="B93" s="53"/>
      <c r="C93" s="53"/>
      <c r="D93" s="53"/>
      <c r="E93" s="55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">
      <c r="A94" s="53"/>
      <c r="B94" s="53"/>
      <c r="C94" s="53"/>
      <c r="D94" s="53"/>
      <c r="E94" s="55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">
      <c r="A95" s="53"/>
      <c r="B95" s="53"/>
      <c r="C95" s="53"/>
      <c r="D95" s="53"/>
      <c r="E95" s="55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">
      <c r="A96" s="53"/>
      <c r="B96" s="53"/>
      <c r="C96" s="53"/>
      <c r="D96" s="53"/>
      <c r="E96" s="55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">
      <c r="A97" s="53"/>
      <c r="B97" s="53"/>
      <c r="C97" s="53"/>
      <c r="D97" s="53"/>
      <c r="E97" s="55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">
      <c r="A98" s="53"/>
      <c r="B98" s="53"/>
      <c r="C98" s="53"/>
      <c r="D98" s="53"/>
      <c r="E98" s="55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">
      <c r="A99" s="53"/>
      <c r="B99" s="53"/>
      <c r="C99" s="53"/>
      <c r="D99" s="53"/>
      <c r="E99" s="55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">
      <c r="A100" s="53"/>
      <c r="B100" s="53"/>
      <c r="C100" s="53"/>
      <c r="D100" s="53"/>
      <c r="E100" s="55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">
      <c r="A101" s="53"/>
      <c r="B101" s="53"/>
      <c r="C101" s="53"/>
      <c r="D101" s="53"/>
      <c r="E101" s="55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">
      <c r="A102" s="53"/>
      <c r="B102" s="53"/>
      <c r="C102" s="53"/>
      <c r="D102" s="53"/>
      <c r="E102" s="55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">
      <c r="A103" s="53"/>
      <c r="B103" s="53"/>
      <c r="C103" s="53"/>
      <c r="D103" s="53"/>
      <c r="E103" s="55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">
      <c r="A104" s="53"/>
      <c r="B104" s="53"/>
      <c r="C104" s="53"/>
      <c r="D104" s="53"/>
      <c r="E104" s="55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">
      <c r="A105" s="53"/>
      <c r="B105" s="53"/>
      <c r="C105" s="53"/>
      <c r="D105" s="53"/>
      <c r="E105" s="55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">
      <c r="A106" s="53"/>
      <c r="B106" s="53"/>
      <c r="C106" s="53"/>
      <c r="D106" s="53"/>
      <c r="E106" s="55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10">
    <mergeCell ref="B60:F60"/>
    <mergeCell ref="B61:F61"/>
    <mergeCell ref="B65:F65"/>
    <mergeCell ref="B70:D70"/>
    <mergeCell ref="B2:G2"/>
    <mergeCell ref="C12:F12"/>
    <mergeCell ref="C27:E27"/>
    <mergeCell ref="C30:E30"/>
    <mergeCell ref="B47:F47"/>
    <mergeCell ref="B48:F48"/>
  </mergeCells>
  <dataValidations count="1">
    <dataValidation type="decimal" allowBlank="1" showInputMessage="1" showErrorMessage="1" prompt="Entre 1 y 9 personas." sqref="B87" xr:uid="{AE93C598-F31A-479D-8985-2B5625212690}">
      <formula1>1</formula1>
      <formula2>9</formula2>
    </dataValidation>
  </dataValidations>
  <hyperlinks>
    <hyperlink ref="H34" r:id="rId1" location="v=onepage&amp;q=e7%20part-time%20members&amp;f=false" xr:uid="{24669898-7328-4B56-8022-F8730DDE0248}"/>
    <hyperlink ref="H52" r:id="rId2" location="v=onepage&amp;q=e7%20part-time%20members&amp;f=false" xr:uid="{04A66671-D9E6-40F0-A9A7-8BDFE776FEB5}"/>
  </hyperlinks>
  <pageMargins left="0.75" right="0.75" top="1" bottom="1" header="0" footer="0"/>
  <pageSetup orientation="portrait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38BC-FA3A-4FB8-A021-E442724B6053}">
  <dimension ref="A1:Z1011"/>
  <sheetViews>
    <sheetView topLeftCell="A60" zoomScale="70" zoomScaleNormal="70" workbookViewId="0">
      <selection activeCell="D102" sqref="D102"/>
    </sheetView>
  </sheetViews>
  <sheetFormatPr baseColWidth="10" defaultColWidth="12.5703125" defaultRowHeight="15" customHeight="1" x14ac:dyDescent="0.2"/>
  <cols>
    <col min="1" max="1" width="27.7109375" customWidth="1"/>
    <col min="2" max="2" width="32.140625" customWidth="1"/>
    <col min="3" max="3" width="33.42578125" customWidth="1"/>
    <col min="4" max="4" width="38.5703125" customWidth="1"/>
    <col min="5" max="5" width="13.5703125" customWidth="1"/>
    <col min="6" max="6" width="16.140625" customWidth="1"/>
    <col min="7" max="7" width="16.7109375" customWidth="1"/>
    <col min="8" max="8" width="34.42578125" customWidth="1"/>
    <col min="9" max="9" width="10.570312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82" t="s">
        <v>0</v>
      </c>
      <c r="C2" s="78"/>
      <c r="D2" s="78"/>
      <c r="E2" s="78"/>
      <c r="F2" s="78"/>
      <c r="G2" s="7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Bot="1" x14ac:dyDescent="0.25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thickBot="1" x14ac:dyDescent="0.25">
      <c r="A8" s="1"/>
      <c r="B8" s="56" t="s">
        <v>99</v>
      </c>
      <c r="C8" s="57" t="s">
        <v>12</v>
      </c>
      <c r="D8" s="57" t="s">
        <v>100</v>
      </c>
      <c r="E8" s="58">
        <v>3</v>
      </c>
      <c r="F8" s="59">
        <v>1</v>
      </c>
      <c r="G8" s="58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 thickBot="1" x14ac:dyDescent="0.25">
      <c r="A9" s="1"/>
      <c r="B9" s="60" t="s">
        <v>138</v>
      </c>
      <c r="C9" s="61" t="s">
        <v>12</v>
      </c>
      <c r="D9" s="61" t="s">
        <v>139</v>
      </c>
      <c r="E9" s="62">
        <v>3</v>
      </c>
      <c r="F9" s="63">
        <v>1</v>
      </c>
      <c r="G9" s="62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thickBot="1" x14ac:dyDescent="0.25">
      <c r="A10" s="1"/>
      <c r="B10" s="60" t="s">
        <v>140</v>
      </c>
      <c r="C10" s="61" t="s">
        <v>12</v>
      </c>
      <c r="D10" s="61" t="s">
        <v>101</v>
      </c>
      <c r="E10" s="62">
        <v>3</v>
      </c>
      <c r="F10" s="63">
        <v>1</v>
      </c>
      <c r="G10" s="62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thickBot="1" x14ac:dyDescent="0.25">
      <c r="A11" s="1"/>
      <c r="B11" s="60"/>
      <c r="C11" s="61"/>
      <c r="D11" s="61"/>
      <c r="E11" s="62"/>
      <c r="F11" s="63"/>
      <c r="G11" s="6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9"/>
      <c r="C12" s="77" t="s">
        <v>15</v>
      </c>
      <c r="D12" s="78"/>
      <c r="E12" s="78"/>
      <c r="F12" s="79"/>
      <c r="G12" s="21">
        <f>SUM(G8:G11)</f>
        <v>3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15"/>
      <c r="C13" s="22"/>
      <c r="D13" s="3"/>
      <c r="E13" s="3"/>
      <c r="F13" s="3"/>
      <c r="G13" s="23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4"/>
      <c r="D14" s="24"/>
      <c r="E14" s="25"/>
      <c r="F14" s="15"/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thickBot="1" x14ac:dyDescent="0.25">
      <c r="A15" s="15" t="s">
        <v>16</v>
      </c>
      <c r="B15" s="16" t="s">
        <v>17</v>
      </c>
      <c r="C15" s="16" t="s">
        <v>18</v>
      </c>
      <c r="D15" s="17" t="s">
        <v>19</v>
      </c>
      <c r="E15" s="17" t="s">
        <v>20</v>
      </c>
      <c r="F15" s="16" t="s">
        <v>9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6"/>
      <c r="U15" s="1"/>
      <c r="V15" s="1"/>
      <c r="W15" s="1"/>
      <c r="X15" s="1"/>
      <c r="Y15" s="1"/>
      <c r="Z15" s="1"/>
    </row>
    <row r="16" spans="1:26" ht="27.75" customHeight="1" thickBot="1" x14ac:dyDescent="0.3">
      <c r="A16" s="1"/>
      <c r="B16" s="86" t="s">
        <v>145</v>
      </c>
      <c r="C16" s="87"/>
      <c r="D16" s="88">
        <v>3</v>
      </c>
      <c r="E16" s="89" t="s">
        <v>14</v>
      </c>
      <c r="F16" s="89">
        <v>5</v>
      </c>
      <c r="G16" s="1"/>
      <c r="H16" s="1"/>
      <c r="I16" s="1"/>
      <c r="J16" s="1"/>
      <c r="K16" s="26"/>
      <c r="L16" s="1"/>
      <c r="M16" s="1"/>
      <c r="N16" s="1"/>
      <c r="O16" s="1"/>
      <c r="P16" s="1"/>
      <c r="Q16" s="1"/>
      <c r="R16" s="1"/>
      <c r="S16" s="1"/>
      <c r="T16" s="26"/>
      <c r="U16" s="1"/>
      <c r="V16" s="1"/>
      <c r="W16" s="1"/>
      <c r="X16" s="1"/>
      <c r="Y16" s="1"/>
      <c r="Z16" s="1"/>
    </row>
    <row r="17" spans="1:26" ht="27.75" customHeight="1" thickBot="1" x14ac:dyDescent="0.3">
      <c r="A17" s="1"/>
      <c r="B17" s="90" t="s">
        <v>143</v>
      </c>
      <c r="C17" s="91"/>
      <c r="D17" s="92">
        <v>6</v>
      </c>
      <c r="E17" s="93" t="s">
        <v>13</v>
      </c>
      <c r="F17" s="93">
        <v>10</v>
      </c>
      <c r="G17" s="1"/>
      <c r="H17" s="1"/>
      <c r="I17" s="1"/>
      <c r="J17" s="1"/>
      <c r="K17" s="26"/>
      <c r="L17" s="1"/>
      <c r="M17" s="1"/>
      <c r="N17" s="1"/>
      <c r="O17" s="1"/>
      <c r="P17" s="1"/>
      <c r="Q17" s="1"/>
      <c r="R17" s="1"/>
      <c r="S17" s="1"/>
      <c r="T17" s="26"/>
      <c r="U17" s="1"/>
      <c r="V17" s="1"/>
      <c r="W17" s="1"/>
      <c r="X17" s="1"/>
      <c r="Y17" s="1"/>
      <c r="Z17" s="1"/>
    </row>
    <row r="18" spans="1:26" ht="27.75" customHeight="1" thickBot="1" x14ac:dyDescent="0.3">
      <c r="A18" s="1"/>
      <c r="B18" s="90" t="s">
        <v>144</v>
      </c>
      <c r="C18" s="91"/>
      <c r="D18" s="92">
        <v>8</v>
      </c>
      <c r="E18" s="93" t="s">
        <v>12</v>
      </c>
      <c r="F18" s="93">
        <v>15</v>
      </c>
      <c r="G18" s="1"/>
      <c r="H18" s="1"/>
      <c r="I18" s="1"/>
      <c r="J18" s="1"/>
      <c r="K18" s="26"/>
      <c r="L18" s="1"/>
      <c r="M18" s="1"/>
      <c r="N18" s="1"/>
      <c r="O18" s="1"/>
      <c r="P18" s="1"/>
      <c r="Q18" s="1"/>
      <c r="R18" s="1"/>
      <c r="S18" s="1"/>
      <c r="T18" s="26"/>
      <c r="U18" s="1"/>
      <c r="V18" s="1"/>
      <c r="W18" s="1"/>
      <c r="X18" s="1"/>
      <c r="Y18" s="1"/>
      <c r="Z18" s="1"/>
    </row>
    <row r="19" spans="1:26" ht="27.75" customHeight="1" thickBot="1" x14ac:dyDescent="0.3">
      <c r="A19" s="1"/>
      <c r="B19" s="90" t="s">
        <v>155</v>
      </c>
      <c r="C19" s="91"/>
      <c r="D19" s="92">
        <v>3</v>
      </c>
      <c r="E19" s="93" t="s">
        <v>14</v>
      </c>
      <c r="F19" s="93">
        <v>5</v>
      </c>
      <c r="G19" s="1"/>
      <c r="H19" s="1"/>
      <c r="I19" s="1"/>
      <c r="J19" s="1"/>
      <c r="K19" s="26"/>
      <c r="L19" s="1"/>
      <c r="M19" s="1"/>
      <c r="N19" s="1"/>
      <c r="O19" s="1"/>
      <c r="P19" s="1"/>
      <c r="Q19" s="1"/>
      <c r="R19" s="1"/>
      <c r="S19" s="1"/>
      <c r="T19" s="26"/>
      <c r="U19" s="1"/>
      <c r="V19" s="1"/>
      <c r="W19" s="1"/>
      <c r="X19" s="1"/>
      <c r="Y19" s="1"/>
      <c r="Z19" s="1"/>
    </row>
    <row r="20" spans="1:26" ht="27.75" customHeight="1" thickBot="1" x14ac:dyDescent="0.3">
      <c r="A20" s="1"/>
      <c r="B20" s="90" t="s">
        <v>146</v>
      </c>
      <c r="C20" s="91"/>
      <c r="D20" s="92">
        <v>10</v>
      </c>
      <c r="E20" s="93" t="s">
        <v>12</v>
      </c>
      <c r="F20" s="93">
        <v>15</v>
      </c>
      <c r="G20" s="1"/>
      <c r="H20" s="1"/>
      <c r="I20" s="1"/>
      <c r="J20" s="1"/>
      <c r="K20" s="26"/>
      <c r="L20" s="1"/>
      <c r="M20" s="1"/>
      <c r="N20" s="1"/>
      <c r="O20" s="1"/>
      <c r="P20" s="1"/>
      <c r="Q20" s="1"/>
      <c r="R20" s="1"/>
      <c r="S20" s="1"/>
      <c r="T20" s="26"/>
      <c r="U20" s="1"/>
      <c r="V20" s="1"/>
      <c r="W20" s="1"/>
      <c r="X20" s="1"/>
      <c r="Y20" s="1"/>
      <c r="Z20" s="1"/>
    </row>
    <row r="21" spans="1:26" ht="27.75" customHeight="1" thickBot="1" x14ac:dyDescent="0.3">
      <c r="A21" s="1"/>
      <c r="B21" s="90" t="s">
        <v>147</v>
      </c>
      <c r="C21" s="91"/>
      <c r="D21" s="92">
        <v>4</v>
      </c>
      <c r="E21" s="93" t="s">
        <v>13</v>
      </c>
      <c r="F21" s="93">
        <v>10</v>
      </c>
      <c r="G21" s="1"/>
      <c r="H21" s="1"/>
      <c r="I21" s="1"/>
      <c r="J21" s="1"/>
      <c r="K21" s="26"/>
      <c r="L21" s="1"/>
      <c r="M21" s="1"/>
      <c r="N21" s="1"/>
      <c r="O21" s="1"/>
      <c r="P21" s="1"/>
      <c r="Q21" s="1"/>
      <c r="R21" s="1"/>
      <c r="S21" s="1"/>
      <c r="T21" s="26"/>
      <c r="U21" s="1"/>
      <c r="V21" s="1"/>
      <c r="W21" s="1"/>
      <c r="X21" s="1"/>
      <c r="Y21" s="1"/>
      <c r="Z21" s="1"/>
    </row>
    <row r="22" spans="1:26" ht="27.75" customHeight="1" thickBot="1" x14ac:dyDescent="0.3">
      <c r="A22" s="1"/>
      <c r="B22" s="90" t="s">
        <v>148</v>
      </c>
      <c r="C22" s="91"/>
      <c r="D22" s="92">
        <v>4</v>
      </c>
      <c r="E22" s="93" t="s">
        <v>13</v>
      </c>
      <c r="F22" s="93">
        <v>10</v>
      </c>
      <c r="G22" s="1"/>
      <c r="H22" s="1"/>
      <c r="I22" s="1"/>
      <c r="J22" s="1"/>
      <c r="K22" s="26"/>
      <c r="L22" s="1"/>
      <c r="M22" s="1"/>
      <c r="N22" s="1"/>
      <c r="O22" s="1"/>
      <c r="P22" s="1"/>
      <c r="Q22" s="1"/>
      <c r="R22" s="1"/>
      <c r="S22" s="1"/>
      <c r="T22" s="26"/>
      <c r="U22" s="1"/>
      <c r="V22" s="1"/>
      <c r="W22" s="1"/>
      <c r="X22" s="1"/>
      <c r="Y22" s="1"/>
      <c r="Z22" s="1"/>
    </row>
    <row r="23" spans="1:26" ht="27.75" customHeight="1" thickBot="1" x14ac:dyDescent="0.3">
      <c r="A23" s="1"/>
      <c r="B23" s="90" t="s">
        <v>102</v>
      </c>
      <c r="C23" s="91"/>
      <c r="D23" s="92">
        <v>3</v>
      </c>
      <c r="E23" s="93" t="s">
        <v>14</v>
      </c>
      <c r="F23" s="93">
        <v>5</v>
      </c>
      <c r="G23" s="1"/>
      <c r="H23" s="1"/>
      <c r="I23" s="1"/>
      <c r="J23" s="1"/>
      <c r="K23" s="26"/>
      <c r="L23" s="1"/>
      <c r="M23" s="1"/>
      <c r="N23" s="1"/>
      <c r="O23" s="1"/>
      <c r="P23" s="1"/>
      <c r="Q23" s="1"/>
      <c r="R23" s="1"/>
      <c r="S23" s="1"/>
      <c r="T23" s="26"/>
      <c r="U23" s="1"/>
      <c r="V23" s="1"/>
      <c r="W23" s="1"/>
      <c r="X23" s="1"/>
      <c r="Y23" s="1"/>
      <c r="Z23" s="1"/>
    </row>
    <row r="24" spans="1:26" ht="27.75" customHeight="1" thickBot="1" x14ac:dyDescent="0.3">
      <c r="A24" s="1"/>
      <c r="B24" s="90" t="s">
        <v>149</v>
      </c>
      <c r="C24" s="91"/>
      <c r="D24" s="92">
        <v>3</v>
      </c>
      <c r="E24" s="93" t="s">
        <v>14</v>
      </c>
      <c r="F24" s="93">
        <v>5</v>
      </c>
      <c r="G24" s="1"/>
      <c r="H24" s="1"/>
      <c r="I24" s="1"/>
      <c r="J24" s="1"/>
      <c r="K24" s="26"/>
      <c r="L24" s="1"/>
      <c r="M24" s="1"/>
      <c r="N24" s="1"/>
      <c r="O24" s="1"/>
      <c r="P24" s="1"/>
      <c r="Q24" s="1"/>
      <c r="R24" s="1"/>
      <c r="S24" s="1"/>
      <c r="T24" s="26"/>
      <c r="U24" s="1"/>
      <c r="V24" s="1"/>
      <c r="W24" s="1"/>
      <c r="X24" s="1"/>
      <c r="Y24" s="1"/>
      <c r="Z24" s="1"/>
    </row>
    <row r="25" spans="1:26" ht="27.75" customHeight="1" thickBot="1" x14ac:dyDescent="0.3">
      <c r="A25" s="1"/>
      <c r="B25" s="90" t="s">
        <v>150</v>
      </c>
      <c r="C25" s="91"/>
      <c r="D25" s="92">
        <v>4</v>
      </c>
      <c r="E25" s="93" t="s">
        <v>13</v>
      </c>
      <c r="F25" s="93">
        <v>10</v>
      </c>
      <c r="G25" s="1"/>
      <c r="H25" s="1"/>
      <c r="I25" s="1"/>
      <c r="J25" s="1"/>
      <c r="K25" s="26"/>
      <c r="L25" s="1"/>
      <c r="M25" s="1"/>
      <c r="N25" s="1"/>
      <c r="O25" s="1"/>
      <c r="P25" s="1"/>
      <c r="Q25" s="1"/>
      <c r="R25" s="1"/>
      <c r="S25" s="1"/>
      <c r="T25" s="26"/>
      <c r="U25" s="1"/>
      <c r="V25" s="1"/>
      <c r="W25" s="1"/>
      <c r="X25" s="1"/>
      <c r="Y25" s="1"/>
      <c r="Z25" s="1"/>
    </row>
    <row r="26" spans="1:26" ht="27.75" customHeight="1" thickBot="1" x14ac:dyDescent="0.3">
      <c r="A26" s="1"/>
      <c r="B26" s="90" t="s">
        <v>151</v>
      </c>
      <c r="C26" s="91"/>
      <c r="D26" s="92">
        <v>3</v>
      </c>
      <c r="E26" s="93" t="s">
        <v>14</v>
      </c>
      <c r="F26" s="93">
        <v>5</v>
      </c>
      <c r="G26" s="1"/>
      <c r="H26" s="1"/>
      <c r="I26" s="1"/>
      <c r="J26" s="1"/>
      <c r="K26" s="26"/>
      <c r="L26" s="1"/>
      <c r="M26" s="1"/>
      <c r="N26" s="1"/>
      <c r="O26" s="1"/>
      <c r="P26" s="1"/>
      <c r="Q26" s="1"/>
      <c r="R26" s="1"/>
      <c r="S26" s="1"/>
      <c r="T26" s="26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B27" s="27"/>
      <c r="C27" s="83" t="s">
        <v>21</v>
      </c>
      <c r="D27" s="84"/>
      <c r="E27" s="85"/>
      <c r="F27" s="28">
        <f>SUM(F16:F26)</f>
        <v>95</v>
      </c>
      <c r="G27" s="1"/>
      <c r="H27" s="15"/>
      <c r="I27" s="1"/>
      <c r="J27" s="1"/>
      <c r="K27" s="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 x14ac:dyDescent="0.2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5" t="s">
        <v>22</v>
      </c>
      <c r="B30" s="29"/>
      <c r="C30" s="77" t="s">
        <v>23</v>
      </c>
      <c r="D30" s="78"/>
      <c r="E30" s="79"/>
      <c r="F30" s="21">
        <f>G12+F27</f>
        <v>98</v>
      </c>
      <c r="G30" s="1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A32" s="1"/>
      <c r="B32" s="3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thickBot="1" x14ac:dyDescent="0.25">
      <c r="A33" s="15" t="s">
        <v>24</v>
      </c>
      <c r="B33" s="17" t="s">
        <v>25</v>
      </c>
      <c r="C33" s="17" t="s">
        <v>26</v>
      </c>
      <c r="D33" s="16" t="s">
        <v>27</v>
      </c>
      <c r="E33" s="16" t="s">
        <v>9</v>
      </c>
      <c r="F33" s="16" t="s">
        <v>28</v>
      </c>
      <c r="G33" s="16" t="s">
        <v>29</v>
      </c>
      <c r="H33" s="1" t="s">
        <v>30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7.75" customHeight="1" thickBot="1" x14ac:dyDescent="0.25">
      <c r="A34" s="1"/>
      <c r="B34" s="30" t="s">
        <v>31</v>
      </c>
      <c r="C34" s="30" t="s">
        <v>32</v>
      </c>
      <c r="D34" s="56" t="s">
        <v>103</v>
      </c>
      <c r="E34" s="65">
        <v>2</v>
      </c>
      <c r="F34" s="59">
        <v>0</v>
      </c>
      <c r="G34" s="65">
        <v>0</v>
      </c>
      <c r="H34" s="31" t="s">
        <v>33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thickBot="1" x14ac:dyDescent="0.25">
      <c r="A35" s="1"/>
      <c r="B35" s="30" t="s">
        <v>34</v>
      </c>
      <c r="C35" s="30" t="s">
        <v>32</v>
      </c>
      <c r="D35" s="60" t="s">
        <v>104</v>
      </c>
      <c r="E35" s="66">
        <v>2</v>
      </c>
      <c r="F35" s="63">
        <v>5</v>
      </c>
      <c r="G35" s="66">
        <v>10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 thickBot="1" x14ac:dyDescent="0.25">
      <c r="A36" s="1"/>
      <c r="B36" s="30" t="s">
        <v>35</v>
      </c>
      <c r="C36" s="30" t="s">
        <v>32</v>
      </c>
      <c r="D36" s="67"/>
      <c r="E36" s="66">
        <v>1</v>
      </c>
      <c r="F36" s="63">
        <v>4</v>
      </c>
      <c r="G36" s="66">
        <v>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25">
      <c r="A37" s="1"/>
      <c r="B37" s="30" t="s">
        <v>36</v>
      </c>
      <c r="C37" s="30" t="s">
        <v>32</v>
      </c>
      <c r="D37" s="60" t="s">
        <v>105</v>
      </c>
      <c r="E37" s="66">
        <v>1</v>
      </c>
      <c r="F37" s="63">
        <v>4</v>
      </c>
      <c r="G37" s="66"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thickBot="1" x14ac:dyDescent="0.25">
      <c r="A38" s="1"/>
      <c r="B38" s="30" t="s">
        <v>37</v>
      </c>
      <c r="C38" s="30" t="s">
        <v>32</v>
      </c>
      <c r="D38" s="60" t="s">
        <v>106</v>
      </c>
      <c r="E38" s="66">
        <v>1</v>
      </c>
      <c r="F38" s="63">
        <v>0</v>
      </c>
      <c r="G38" s="66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 thickBot="1" x14ac:dyDescent="0.25">
      <c r="A39" s="1"/>
      <c r="B39" s="30" t="s">
        <v>38</v>
      </c>
      <c r="C39" s="30" t="s">
        <v>32</v>
      </c>
      <c r="D39" s="60" t="s">
        <v>107</v>
      </c>
      <c r="E39" s="66">
        <v>0.5</v>
      </c>
      <c r="F39" s="63">
        <v>5</v>
      </c>
      <c r="G39" s="66">
        <v>2.5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thickBot="1" x14ac:dyDescent="0.25">
      <c r="A40" s="1"/>
      <c r="B40" s="30" t="s">
        <v>39</v>
      </c>
      <c r="C40" s="30" t="s">
        <v>32</v>
      </c>
      <c r="D40" s="60" t="s">
        <v>108</v>
      </c>
      <c r="E40" s="66">
        <v>0.5</v>
      </c>
      <c r="F40" s="63">
        <v>5</v>
      </c>
      <c r="G40" s="66">
        <v>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thickBot="1" x14ac:dyDescent="0.25">
      <c r="A41" s="1"/>
      <c r="B41" s="30" t="s">
        <v>40</v>
      </c>
      <c r="C41" s="30" t="s">
        <v>32</v>
      </c>
      <c r="D41" s="60" t="s">
        <v>109</v>
      </c>
      <c r="E41" s="66">
        <v>2</v>
      </c>
      <c r="F41" s="63">
        <v>3</v>
      </c>
      <c r="G41" s="66">
        <v>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thickBot="1" x14ac:dyDescent="0.25">
      <c r="A42" s="1"/>
      <c r="B42" s="30" t="s">
        <v>41</v>
      </c>
      <c r="C42" s="30" t="s">
        <v>32</v>
      </c>
      <c r="D42" s="60" t="s">
        <v>110</v>
      </c>
      <c r="E42" s="66">
        <v>1</v>
      </c>
      <c r="F42" s="63">
        <v>1</v>
      </c>
      <c r="G42" s="66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thickBot="1" x14ac:dyDescent="0.25">
      <c r="A43" s="1"/>
      <c r="B43" s="30" t="s">
        <v>42</v>
      </c>
      <c r="C43" s="30" t="s">
        <v>32</v>
      </c>
      <c r="D43" s="60" t="s">
        <v>111</v>
      </c>
      <c r="E43" s="66">
        <v>1</v>
      </c>
      <c r="F43" s="63">
        <v>5</v>
      </c>
      <c r="G43" s="66"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 x14ac:dyDescent="0.25">
      <c r="A44" s="1"/>
      <c r="B44" s="30" t="s">
        <v>43</v>
      </c>
      <c r="C44" s="30" t="s">
        <v>32</v>
      </c>
      <c r="D44" s="60" t="s">
        <v>112</v>
      </c>
      <c r="E44" s="66">
        <v>1</v>
      </c>
      <c r="F44" s="63">
        <v>5</v>
      </c>
      <c r="G44" s="66">
        <v>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25">
      <c r="A45" s="1"/>
      <c r="B45" s="30" t="s">
        <v>44</v>
      </c>
      <c r="C45" s="30" t="s">
        <v>32</v>
      </c>
      <c r="D45" s="60" t="s">
        <v>113</v>
      </c>
      <c r="E45" s="66">
        <v>1</v>
      </c>
      <c r="F45" s="63">
        <v>4</v>
      </c>
      <c r="G45" s="66">
        <v>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 x14ac:dyDescent="0.25">
      <c r="A46" s="1"/>
      <c r="B46" s="30" t="s">
        <v>45</v>
      </c>
      <c r="C46" s="30" t="s">
        <v>32</v>
      </c>
      <c r="D46" s="60" t="s">
        <v>114</v>
      </c>
      <c r="E46" s="66">
        <v>1</v>
      </c>
      <c r="F46" s="63">
        <v>3</v>
      </c>
      <c r="G46" s="66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75" customHeight="1" x14ac:dyDescent="0.2">
      <c r="A47" s="1"/>
      <c r="B47" s="77" t="s">
        <v>46</v>
      </c>
      <c r="C47" s="78"/>
      <c r="D47" s="78"/>
      <c r="E47" s="78"/>
      <c r="F47" s="79"/>
      <c r="G47" s="32">
        <f>SUM(G34:G46)</f>
        <v>47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75" customHeight="1" x14ac:dyDescent="0.2">
      <c r="A48" s="1"/>
      <c r="B48" s="77" t="s">
        <v>47</v>
      </c>
      <c r="C48" s="78"/>
      <c r="D48" s="78"/>
      <c r="E48" s="78"/>
      <c r="F48" s="79"/>
      <c r="G48" s="28">
        <f>0.6+(0.01*G47)</f>
        <v>1.07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2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33"/>
      <c r="C50" s="33"/>
      <c r="D50" s="34"/>
      <c r="E50" s="33"/>
      <c r="F50" s="33"/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25">
      <c r="A51" s="15" t="s">
        <v>48</v>
      </c>
      <c r="B51" s="17" t="s">
        <v>49</v>
      </c>
      <c r="C51" s="17" t="s">
        <v>50</v>
      </c>
      <c r="D51" s="16" t="s">
        <v>51</v>
      </c>
      <c r="E51" s="16" t="s">
        <v>9</v>
      </c>
      <c r="F51" s="16" t="s">
        <v>28</v>
      </c>
      <c r="G51" s="16" t="s">
        <v>29</v>
      </c>
      <c r="H51" s="1" t="s">
        <v>52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thickBot="1" x14ac:dyDescent="0.25">
      <c r="A52" s="1"/>
      <c r="B52" s="35" t="s">
        <v>53</v>
      </c>
      <c r="C52" s="30" t="s">
        <v>54</v>
      </c>
      <c r="D52" s="56" t="s">
        <v>132</v>
      </c>
      <c r="E52" s="65" t="s">
        <v>122</v>
      </c>
      <c r="F52" s="59">
        <v>2</v>
      </c>
      <c r="G52" s="65">
        <v>3</v>
      </c>
      <c r="H52" s="31" t="s">
        <v>33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thickBot="1" x14ac:dyDescent="0.25">
      <c r="A53" s="1"/>
      <c r="B53" s="35" t="s">
        <v>55</v>
      </c>
      <c r="C53" s="30" t="s">
        <v>54</v>
      </c>
      <c r="D53" s="60" t="s">
        <v>132</v>
      </c>
      <c r="E53" s="66" t="s">
        <v>121</v>
      </c>
      <c r="F53" s="63">
        <v>2</v>
      </c>
      <c r="G53" s="66"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25">
      <c r="A54" s="1"/>
      <c r="B54" s="35" t="s">
        <v>56</v>
      </c>
      <c r="C54" s="30" t="s">
        <v>54</v>
      </c>
      <c r="D54" s="60" t="s">
        <v>132</v>
      </c>
      <c r="E54" s="66">
        <v>1</v>
      </c>
      <c r="F54" s="63">
        <v>2</v>
      </c>
      <c r="G54" s="66">
        <v>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thickBot="1" x14ac:dyDescent="0.25">
      <c r="A55" s="1"/>
      <c r="B55" s="35" t="s">
        <v>57</v>
      </c>
      <c r="C55" s="30" t="s">
        <v>54</v>
      </c>
      <c r="D55" s="60" t="s">
        <v>133</v>
      </c>
      <c r="E55" s="66" t="s">
        <v>121</v>
      </c>
      <c r="F55" s="63">
        <v>3</v>
      </c>
      <c r="G55" s="66" t="s">
        <v>122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75" customHeight="1" thickBot="1" x14ac:dyDescent="0.25">
      <c r="A56" s="1"/>
      <c r="B56" s="35" t="s">
        <v>58</v>
      </c>
      <c r="C56" s="30" t="s">
        <v>59</v>
      </c>
      <c r="D56" s="60" t="s">
        <v>134</v>
      </c>
      <c r="E56" s="66">
        <v>1</v>
      </c>
      <c r="F56" s="63">
        <v>0</v>
      </c>
      <c r="G56" s="66"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25">
      <c r="A57" s="1"/>
      <c r="B57" s="35" t="s">
        <v>60</v>
      </c>
      <c r="C57" s="30" t="s">
        <v>61</v>
      </c>
      <c r="D57" s="60" t="s">
        <v>135</v>
      </c>
      <c r="E57" s="66">
        <v>2</v>
      </c>
      <c r="F57" s="63">
        <v>3</v>
      </c>
      <c r="G57" s="66">
        <v>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thickBot="1" x14ac:dyDescent="0.25">
      <c r="A58" s="1"/>
      <c r="B58" s="35" t="s">
        <v>62</v>
      </c>
      <c r="C58" s="30" t="s">
        <v>63</v>
      </c>
      <c r="D58" s="60" t="s">
        <v>136</v>
      </c>
      <c r="E58" s="66">
        <v>-1</v>
      </c>
      <c r="F58" s="63">
        <v>3</v>
      </c>
      <c r="G58" s="66">
        <v>-3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thickBot="1" x14ac:dyDescent="0.25">
      <c r="A59" s="1"/>
      <c r="B59" s="35" t="s">
        <v>64</v>
      </c>
      <c r="C59" s="30" t="s">
        <v>65</v>
      </c>
      <c r="D59" s="60" t="s">
        <v>137</v>
      </c>
      <c r="E59" s="66">
        <v>-1</v>
      </c>
      <c r="F59" s="63">
        <v>5</v>
      </c>
      <c r="G59" s="66">
        <v>-5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1"/>
      <c r="B60" s="77" t="s">
        <v>66</v>
      </c>
      <c r="C60" s="78"/>
      <c r="D60" s="78"/>
      <c r="E60" s="78"/>
      <c r="F60" s="79"/>
      <c r="G60" s="16">
        <f>SUM(G52:G59)</f>
        <v>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75" customHeight="1" x14ac:dyDescent="0.2">
      <c r="A61" s="1"/>
      <c r="B61" s="77" t="s">
        <v>67</v>
      </c>
      <c r="C61" s="78"/>
      <c r="D61" s="78"/>
      <c r="E61" s="78"/>
      <c r="F61" s="79"/>
      <c r="G61" s="16">
        <f>1.4 + (-0.03*G60)</f>
        <v>1.2799999999999998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20"/>
      <c r="C62" s="36"/>
      <c r="D62" s="37"/>
      <c r="E62" s="36"/>
      <c r="F62" s="38" t="s">
        <v>68</v>
      </c>
      <c r="G62" s="16">
        <f>COUNTIF($F$52:$F$57,"&lt;3")+COUNTIF($F$58:$F$59,"&gt;3")</f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2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5" t="s">
        <v>69</v>
      </c>
      <c r="B65" s="80" t="s">
        <v>70</v>
      </c>
      <c r="C65" s="78"/>
      <c r="D65" s="78"/>
      <c r="E65" s="78"/>
      <c r="F65" s="79"/>
      <c r="G65" s="39">
        <f>F30*G48*G61</f>
        <v>134.22079999999997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40" t="s">
        <v>71</v>
      </c>
      <c r="B68" s="17" t="s">
        <v>72</v>
      </c>
      <c r="C68" s="17" t="s">
        <v>73</v>
      </c>
      <c r="D68" s="17" t="s">
        <v>74</v>
      </c>
      <c r="E68" s="3"/>
      <c r="F68" s="1"/>
      <c r="G68" s="17" t="s">
        <v>75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41">
        <v>20</v>
      </c>
      <c r="C69" s="41">
        <f>IF($G$62&gt;=5,36,IF(AND(G$62&gt;2,$G$62&lt;=4),28, IF(AND($G$62&gt;=0,$G$62&lt;=2),20,"error")))</f>
        <v>36</v>
      </c>
      <c r="D69" s="42">
        <f>IF($G$62&gt;=5,$G$69*(36/20),IF(AND($G$62&gt;2,$G$62&lt;=4),$G$69*(28/20), IF(AND($G$62&gt;=0,$G$62&lt;=2),$G$69,"error")))</f>
        <v>4.5</v>
      </c>
      <c r="E69" s="3"/>
      <c r="F69" s="1"/>
      <c r="G69" s="43">
        <v>2.5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75" customHeight="1" x14ac:dyDescent="0.2">
      <c r="A70" s="1"/>
      <c r="B70" s="81" t="s">
        <v>76</v>
      </c>
      <c r="C70" s="78"/>
      <c r="D70" s="79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44" t="s">
        <v>77</v>
      </c>
      <c r="B71" s="41">
        <f t="shared" ref="B71:D71" si="0">$G$65*B69</f>
        <v>2684.4159999999993</v>
      </c>
      <c r="C71" s="41">
        <f t="shared" si="0"/>
        <v>4831.9487999999992</v>
      </c>
      <c r="D71" s="41">
        <f t="shared" si="0"/>
        <v>603.9935999999999</v>
      </c>
      <c r="E71" s="3"/>
      <c r="F71" s="1"/>
      <c r="G71" s="17" t="s">
        <v>91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44" t="s">
        <v>78</v>
      </c>
      <c r="B72" s="45">
        <f>B71/(22*G72)</f>
        <v>61.009454545454531</v>
      </c>
      <c r="C72" s="45">
        <f>C71/(22*G72)</f>
        <v>109.81701818181817</v>
      </c>
      <c r="D72" s="46">
        <f>D71/(22*G72)</f>
        <v>13.727127272727271</v>
      </c>
      <c r="E72" s="3"/>
      <c r="F72" s="1"/>
      <c r="G72" s="43">
        <v>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5" t="s">
        <v>93</v>
      </c>
      <c r="B75" s="47" t="s">
        <v>95</v>
      </c>
      <c r="C75" s="48"/>
      <c r="D75" s="37"/>
      <c r="E75" s="36"/>
      <c r="F75" s="4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29" t="s">
        <v>79</v>
      </c>
      <c r="C76" s="16" t="s">
        <v>80</v>
      </c>
      <c r="D76" s="39" t="s">
        <v>96</v>
      </c>
      <c r="E76" s="39" t="s">
        <v>97</v>
      </c>
      <c r="F76" s="39" t="s">
        <v>98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"/>
      <c r="B77" s="50" t="s">
        <v>84</v>
      </c>
      <c r="C77" s="51">
        <v>0.4</v>
      </c>
      <c r="D77" s="45">
        <f>+B71</f>
        <v>2684.4159999999993</v>
      </c>
      <c r="E77" s="45">
        <f>+C71</f>
        <v>4831.9487999999992</v>
      </c>
      <c r="F77" s="45">
        <f>+D71</f>
        <v>603.9935999999999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50" t="s">
        <v>85</v>
      </c>
      <c r="C78" s="51">
        <f>1-C77</f>
        <v>0.6</v>
      </c>
      <c r="D78" s="41">
        <f>+D77*1.5</f>
        <v>4026.6239999999989</v>
      </c>
      <c r="E78" s="41">
        <f t="shared" ref="E78:F78" si="1">+E77*1.5</f>
        <v>7247.9231999999993</v>
      </c>
      <c r="F78" s="41">
        <f t="shared" si="1"/>
        <v>905.99039999999991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52"/>
      <c r="C79" s="51">
        <f>SUM(C77:C78)</f>
        <v>1</v>
      </c>
      <c r="D79" s="45">
        <f>+D77+D78</f>
        <v>6711.0399999999981</v>
      </c>
      <c r="E79" s="45">
        <f t="shared" ref="E79:F79" si="2">+E77+E78</f>
        <v>12079.871999999999</v>
      </c>
      <c r="F79" s="45">
        <f t="shared" si="2"/>
        <v>1509.9839999999999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5" t="s">
        <v>94</v>
      </c>
      <c r="B81" s="47" t="s">
        <v>92</v>
      </c>
      <c r="C81" s="48"/>
      <c r="D81" s="37"/>
      <c r="E81" s="36"/>
      <c r="F81" s="4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29" t="s">
        <v>79</v>
      </c>
      <c r="C82" s="16" t="s">
        <v>80</v>
      </c>
      <c r="D82" s="39" t="s">
        <v>81</v>
      </c>
      <c r="E82" s="39" t="s">
        <v>82</v>
      </c>
      <c r="F82" s="39" t="s">
        <v>83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"/>
      <c r="B83" s="50" t="s">
        <v>84</v>
      </c>
      <c r="C83" s="51">
        <v>0.4</v>
      </c>
      <c r="D83" s="45">
        <f t="shared" ref="D83:F85" si="3">$C83/$C$83*B$72</f>
        <v>61.009454545454531</v>
      </c>
      <c r="E83" s="45">
        <f t="shared" si="3"/>
        <v>109.81701818181817</v>
      </c>
      <c r="F83" s="45">
        <f t="shared" si="3"/>
        <v>13.727127272727271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50" t="s">
        <v>85</v>
      </c>
      <c r="C84" s="51">
        <f>1-C83</f>
        <v>0.6</v>
      </c>
      <c r="D84" s="41">
        <f t="shared" si="3"/>
        <v>91.514181818181783</v>
      </c>
      <c r="E84" s="41">
        <f t="shared" si="3"/>
        <v>164.72552727272722</v>
      </c>
      <c r="F84" s="41">
        <f t="shared" si="3"/>
        <v>20.590690909090902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"/>
      <c r="B85" s="52"/>
      <c r="C85" s="51">
        <f>SUM(C83:C84)</f>
        <v>1</v>
      </c>
      <c r="D85" s="45">
        <f t="shared" si="3"/>
        <v>152.52363636363634</v>
      </c>
      <c r="E85" s="45">
        <f t="shared" si="3"/>
        <v>274.5425454545454</v>
      </c>
      <c r="F85" s="45">
        <f t="shared" si="3"/>
        <v>34.317818181818176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1"/>
      <c r="B86" s="1"/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75" customHeight="1" x14ac:dyDescent="0.2">
      <c r="A87" s="15" t="s">
        <v>86</v>
      </c>
      <c r="B87" s="18">
        <v>5</v>
      </c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75" customHeight="1" x14ac:dyDescent="0.2">
      <c r="A88" s="1"/>
      <c r="B88" s="1"/>
      <c r="C88" s="1"/>
      <c r="D88" s="2"/>
      <c r="E88" s="3"/>
      <c r="F88" s="1"/>
      <c r="G88" s="1"/>
      <c r="H88" s="7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75" customHeight="1" x14ac:dyDescent="0.2">
      <c r="A89" s="15" t="s">
        <v>87</v>
      </c>
      <c r="B89" s="39" t="s">
        <v>88</v>
      </c>
      <c r="C89" s="39" t="s">
        <v>89</v>
      </c>
      <c r="D89" s="39" t="s">
        <v>90</v>
      </c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75" customHeight="1" x14ac:dyDescent="0.2">
      <c r="A90" s="53"/>
      <c r="B90" s="54">
        <f>$D$85/$B$87</f>
        <v>30.504727272727269</v>
      </c>
      <c r="C90" s="54">
        <f>$E$85/$B$87</f>
        <v>54.908509090909078</v>
      </c>
      <c r="D90" s="54">
        <f>$F$85/$B$87</f>
        <v>6.8635636363636348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 x14ac:dyDescent="0.2">
      <c r="A91" s="53"/>
      <c r="B91" s="53"/>
      <c r="C91" s="53"/>
      <c r="D91" s="53"/>
      <c r="E91" s="55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 x14ac:dyDescent="0.2">
      <c r="A92" s="53"/>
      <c r="B92" s="53"/>
      <c r="C92" s="53"/>
      <c r="D92" s="53"/>
      <c r="E92" s="55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 x14ac:dyDescent="0.2">
      <c r="A93" s="53"/>
      <c r="B93" s="53"/>
      <c r="C93" s="53"/>
      <c r="D93" s="53"/>
      <c r="E93" s="55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 x14ac:dyDescent="0.2">
      <c r="A94" s="53"/>
      <c r="B94" s="53"/>
      <c r="C94" s="53"/>
      <c r="D94" s="53"/>
      <c r="E94" s="55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 x14ac:dyDescent="0.2">
      <c r="A95" s="53"/>
      <c r="B95" s="53"/>
      <c r="C95" s="53"/>
      <c r="D95" s="53"/>
      <c r="E95" s="55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 x14ac:dyDescent="0.2">
      <c r="A96" s="53"/>
      <c r="B96" s="53"/>
      <c r="C96" s="53"/>
      <c r="D96" s="53"/>
      <c r="E96" s="55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 x14ac:dyDescent="0.2">
      <c r="A97" s="53"/>
      <c r="B97" s="53"/>
      <c r="C97" s="53"/>
      <c r="D97" s="53"/>
      <c r="E97" s="55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 x14ac:dyDescent="0.2">
      <c r="A98" s="53"/>
      <c r="B98" s="53"/>
      <c r="C98" s="53"/>
      <c r="D98" s="53"/>
      <c r="E98" s="55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 x14ac:dyDescent="0.2">
      <c r="A99" s="53"/>
      <c r="B99" s="53"/>
      <c r="C99" s="53"/>
      <c r="D99" s="53"/>
      <c r="E99" s="55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 x14ac:dyDescent="0.2">
      <c r="A100" s="53"/>
      <c r="B100" s="53"/>
      <c r="C100" s="53"/>
      <c r="D100" s="53"/>
      <c r="E100" s="55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 x14ac:dyDescent="0.2">
      <c r="A101" s="53"/>
      <c r="B101" s="53"/>
      <c r="C101" s="53"/>
      <c r="D101" s="53"/>
      <c r="E101" s="55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 x14ac:dyDescent="0.2">
      <c r="A102" s="53"/>
      <c r="B102" s="53"/>
      <c r="C102" s="53"/>
      <c r="D102" s="53"/>
      <c r="E102" s="55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 x14ac:dyDescent="0.2">
      <c r="A103" s="53"/>
      <c r="B103" s="53"/>
      <c r="C103" s="53"/>
      <c r="D103" s="53"/>
      <c r="E103" s="55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 x14ac:dyDescent="0.2">
      <c r="A104" s="53"/>
      <c r="B104" s="53"/>
      <c r="C104" s="53"/>
      <c r="D104" s="53"/>
      <c r="E104" s="55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 x14ac:dyDescent="0.2">
      <c r="A105" s="53"/>
      <c r="B105" s="53"/>
      <c r="C105" s="53"/>
      <c r="D105" s="53"/>
      <c r="E105" s="55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 x14ac:dyDescent="0.2">
      <c r="A106" s="53"/>
      <c r="B106" s="53"/>
      <c r="C106" s="53"/>
      <c r="D106" s="53"/>
      <c r="E106" s="55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10">
    <mergeCell ref="B60:F60"/>
    <mergeCell ref="B61:F61"/>
    <mergeCell ref="B65:F65"/>
    <mergeCell ref="B70:D70"/>
    <mergeCell ref="B2:G2"/>
    <mergeCell ref="C12:F12"/>
    <mergeCell ref="C27:E27"/>
    <mergeCell ref="C30:E30"/>
    <mergeCell ref="B47:F47"/>
    <mergeCell ref="B48:F48"/>
  </mergeCells>
  <dataValidations count="1">
    <dataValidation type="decimal" allowBlank="1" showInputMessage="1" showErrorMessage="1" prompt="Entre 1 y 9 personas." sqref="B87" xr:uid="{A0FD9BDD-BD51-4E8A-B475-9098E75619B7}">
      <formula1>1</formula1>
      <formula2>9</formula2>
    </dataValidation>
  </dataValidations>
  <hyperlinks>
    <hyperlink ref="H34" r:id="rId1" location="v=onepage&amp;q=e7%20part-time%20members&amp;f=false" xr:uid="{7CDA5E7D-BC59-4E73-ACE3-147A5C9DF7F9}"/>
    <hyperlink ref="H52" r:id="rId2" location="v=onepage&amp;q=e7%20part-time%20members&amp;f=false" xr:uid="{34B8345E-9B57-4166-9C0D-5257B70835D6}"/>
  </hyperlinks>
  <pageMargins left="0.75" right="0.75" top="1" bottom="1" header="0" footer="0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Estimacion04</vt:lpstr>
      <vt:lpstr>Estimacion04 (Optimista)</vt:lpstr>
      <vt:lpstr>Estimacion04 (Pesimista)</vt:lpstr>
      <vt:lpstr>Estimacion04!solver_opt</vt:lpstr>
      <vt:lpstr>'Estimacion04 (Optimista)'!solver_opt</vt:lpstr>
      <vt:lpstr>'Estimacion04 (Pesimista)'!solver_opt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Centurión</dc:creator>
  <cp:lastModifiedBy>Valeria Centurión</cp:lastModifiedBy>
  <dcterms:created xsi:type="dcterms:W3CDTF">2021-09-16T15:20:38Z</dcterms:created>
  <dcterms:modified xsi:type="dcterms:W3CDTF">2025-10-27T18:18:20Z</dcterms:modified>
</cp:coreProperties>
</file>