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8u7A57w9g7ecO9LEvqLgIlNAKBelJsfuCUsa3Iepi5g="/>
    </ext>
  </extLst>
</workbook>
</file>

<file path=xl/sharedStrings.xml><?xml version="1.0" encoding="utf-8"?>
<sst xmlns="http://schemas.openxmlformats.org/spreadsheetml/2006/main" count="32" uniqueCount="32">
  <si>
    <t>A</t>
  </si>
  <si>
    <t>B</t>
  </si>
  <si>
    <t>Comando cantidad de commits por día</t>
  </si>
  <si>
    <t>Cantidad</t>
  </si>
  <si>
    <t>Fecha</t>
  </si>
  <si>
    <t>git log --all --date=short --pretty=format:"%ad" | sort | uniq -c</t>
  </si>
  <si>
    <t>Inicio - I1</t>
  </si>
  <si>
    <t>Elaboración - I1</t>
  </si>
  <si>
    <t>Elaboración - I2</t>
  </si>
  <si>
    <t>Construcción - I1</t>
  </si>
  <si>
    <t>Construcción - I2</t>
  </si>
  <si>
    <t>Construcción - I3</t>
  </si>
  <si>
    <t>Cierre</t>
  </si>
  <si>
    <t xml:space="preserve">SUMA </t>
  </si>
  <si>
    <t>Estado del repositorio</t>
  </si>
  <si>
    <t>cantidad de carpetas</t>
  </si>
  <si>
    <t>git rev-list --all | while read commit; do git ls-tree -r --name-only $commit; done | sed 's/[^/]*$//' | sort -u | wc -l</t>
  </si>
  <si>
    <t>cantidad de archivos</t>
  </si>
  <si>
    <t>git rev-list --all | while read commit; do git ls-tree -r --name-only $commit; done | sort -u | wc -l</t>
  </si>
  <si>
    <t>Fecha creación repo</t>
  </si>
  <si>
    <t>Fecha actual</t>
  </si>
  <si>
    <t>Dias totales:</t>
  </si>
  <si>
    <t>Dias efectivos:</t>
  </si>
  <si>
    <t>Commits de documentación (filtrados):</t>
  </si>
  <si>
    <t>Documentación</t>
  </si>
  <si>
    <t>Commits de programación (filtrados):</t>
  </si>
  <si>
    <t>Programación</t>
  </si>
  <si>
    <t>Commits de documentación (no filtrados):</t>
  </si>
  <si>
    <t>Otros</t>
  </si>
  <si>
    <t>Commits de programación (no filtrados):</t>
  </si>
  <si>
    <t>Total</t>
  </si>
  <si>
    <t>Otros (creación de ramas, actualización de repositorio, conflictos, etc)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</si>
</sst>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&quot;-&quot;yy"/>
    <numFmt numFmtId="165" formatCode="d/M/yyyy"/>
    <numFmt numFmtId="166" formatCode="#,##0.0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Alignment="1" applyFont="1" applyNumberFormat="1">
      <alignment readingOrder="0"/>
    </xf>
    <xf borderId="0" fillId="0" fontId="2" numFmtId="0" xfId="0" applyAlignment="1" applyFont="1">
      <alignment horizontal="right"/>
    </xf>
    <xf borderId="0" fillId="0" fontId="2" numFmtId="3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1" numFmtId="165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2" numFmtId="0" xfId="0" applyFont="1"/>
    <xf borderId="0" fillId="0" fontId="2" numFmtId="166" xfId="0" applyFont="1" applyNumberFormat="1"/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rgbClr val="000000"/>
                </a:solidFill>
                <a:latin typeface="+mn-lt"/>
              </a:defRPr>
            </a:pPr>
            <a:r>
              <a:rPr b="1" sz="2400">
                <a:solidFill>
                  <a:srgbClr val="000000"/>
                </a:solidFill>
                <a:latin typeface="+mn-lt"/>
              </a:rPr>
              <a:t>Clasificación de Commits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6D9EEB"/>
              </a:solidFill>
            </c:spPr>
          </c:dPt>
          <c:dPt>
            <c:idx val="1"/>
            <c:spPr>
              <a:solidFill>
                <a:srgbClr val="6AA84F"/>
              </a:solidFill>
            </c:spPr>
          </c:dPt>
          <c:dPt>
            <c:idx val="2"/>
            <c:spPr>
              <a:solidFill>
                <a:srgbClr val="E06666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24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i="0" sz="24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sz="18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'Hoja 1'!$H$53:$H$55</c:f>
            </c:strRef>
          </c:cat>
          <c:val>
            <c:numRef>
              <c:f>'Hoja 1'!$I$53:$I$55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7416872099767982"/>
          <c:y val="0.21747967479674798"/>
        </c:manualLayout>
      </c:layout>
      <c:overlay val="0"/>
      <c:txPr>
        <a:bodyPr/>
        <a:lstStyle/>
        <a:p>
          <a:pPr lvl="0">
            <a:defRPr b="1" sz="2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chart" Target="../charts/chart1.xml"/><Relationship Id="rId4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342900</xdr:colOff>
      <xdr:row>4</xdr:row>
      <xdr:rowOff>38100</xdr:rowOff>
    </xdr:from>
    <xdr:ext cx="9105900" cy="5553075"/>
    <xdr:pic>
      <xdr:nvPicPr>
        <xdr:cNvPr id="1710398839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476250</xdr:colOff>
      <xdr:row>102</xdr:row>
      <xdr:rowOff>38100</xdr:rowOff>
    </xdr:from>
    <xdr:ext cx="8963025" cy="5553075"/>
    <xdr:pic>
      <xdr:nvPicPr>
        <xdr:cNvPr id="787707118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1504950</xdr:colOff>
      <xdr:row>57</xdr:row>
      <xdr:rowOff>180975</xdr:rowOff>
    </xdr:from>
    <xdr:ext cx="8210550" cy="5076825"/>
    <xdr:graphicFrame>
      <xdr:nvGraphicFramePr>
        <xdr:cNvPr id="60834506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619125</xdr:colOff>
      <xdr:row>37</xdr:row>
      <xdr:rowOff>142875</xdr:rowOff>
    </xdr:from>
    <xdr:ext cx="4543425" cy="2847975"/>
    <xdr:pic>
      <xdr:nvPicPr>
        <xdr:cNvPr id="217464181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26.63"/>
    <col customWidth="1" min="5" max="5" width="12.63"/>
    <col customWidth="1" min="6" max="6" width="80.5"/>
  </cols>
  <sheetData>
    <row r="1" ht="15.75" customHeight="1">
      <c r="A1" s="1" t="s">
        <v>0</v>
      </c>
      <c r="B1" s="2" t="s">
        <v>1</v>
      </c>
      <c r="C1" s="3"/>
      <c r="F1" s="3" t="s">
        <v>2</v>
      </c>
      <c r="J1" s="3">
        <v>25.0</v>
      </c>
    </row>
    <row r="2" ht="15.75" customHeight="1">
      <c r="A2" s="1" t="s">
        <v>3</v>
      </c>
      <c r="B2" s="2" t="s">
        <v>4</v>
      </c>
      <c r="C2" s="3"/>
      <c r="F2" s="3" t="s">
        <v>5</v>
      </c>
      <c r="J2" s="3" t="e">
        <v>#N/A</v>
      </c>
      <c r="K2" s="3" t="s">
        <v>6</v>
      </c>
      <c r="L2" s="3" t="s">
        <v>7</v>
      </c>
      <c r="M2" s="3" t="s">
        <v>8</v>
      </c>
      <c r="N2" s="3" t="s">
        <v>9</v>
      </c>
      <c r="O2" s="3" t="s">
        <v>10</v>
      </c>
      <c r="P2" s="3" t="s">
        <v>11</v>
      </c>
      <c r="Q2" s="3" t="s">
        <v>12</v>
      </c>
    </row>
    <row r="3" ht="15.75" customHeight="1">
      <c r="A3" s="4">
        <v>8.0</v>
      </c>
      <c r="B3" s="5">
        <v>45895.0</v>
      </c>
      <c r="C3" s="3" t="s">
        <v>13</v>
      </c>
      <c r="K3" s="6">
        <f t="shared" ref="K3:K11" si="2">$J$1-A3</f>
        <v>17</v>
      </c>
      <c r="L3" s="7" t="str">
        <f t="shared" ref="L3:Q3" si="1">$J$2</f>
        <v>#N/A</v>
      </c>
      <c r="M3" s="7" t="str">
        <f t="shared" si="1"/>
        <v>#N/A</v>
      </c>
      <c r="N3" s="7" t="str">
        <f t="shared" si="1"/>
        <v>#N/A</v>
      </c>
      <c r="O3" s="7" t="str">
        <f t="shared" si="1"/>
        <v>#N/A</v>
      </c>
      <c r="P3" s="7" t="str">
        <f t="shared" si="1"/>
        <v>#N/A</v>
      </c>
      <c r="Q3" s="7" t="str">
        <f t="shared" si="1"/>
        <v>#N/A</v>
      </c>
    </row>
    <row r="4" ht="15.75" customHeight="1">
      <c r="A4" s="4">
        <v>5.0</v>
      </c>
      <c r="B4" s="5">
        <v>45897.0</v>
      </c>
      <c r="C4" s="8">
        <f>SUM(A3:A80)</f>
        <v>307</v>
      </c>
      <c r="K4" s="6">
        <f t="shared" si="2"/>
        <v>20</v>
      </c>
      <c r="L4" s="7" t="str">
        <f t="shared" ref="L4:Q4" si="3">$J$2</f>
        <v>#N/A</v>
      </c>
      <c r="M4" s="7" t="str">
        <f t="shared" si="3"/>
        <v>#N/A</v>
      </c>
      <c r="N4" s="7" t="str">
        <f t="shared" si="3"/>
        <v>#N/A</v>
      </c>
      <c r="O4" s="7" t="str">
        <f t="shared" si="3"/>
        <v>#N/A</v>
      </c>
      <c r="P4" s="7" t="str">
        <f t="shared" si="3"/>
        <v>#N/A</v>
      </c>
      <c r="Q4" s="7" t="str">
        <f t="shared" si="3"/>
        <v>#N/A</v>
      </c>
    </row>
    <row r="5" ht="15.75" customHeight="1">
      <c r="A5" s="4">
        <v>1.0</v>
      </c>
      <c r="B5" s="5">
        <v>45898.0</v>
      </c>
      <c r="K5" s="6">
        <f t="shared" si="2"/>
        <v>24</v>
      </c>
      <c r="L5" s="7" t="str">
        <f t="shared" ref="L5:Q5" si="4">$J$2</f>
        <v>#N/A</v>
      </c>
      <c r="M5" s="7" t="str">
        <f t="shared" si="4"/>
        <v>#N/A</v>
      </c>
      <c r="N5" s="7" t="str">
        <f t="shared" si="4"/>
        <v>#N/A</v>
      </c>
      <c r="O5" s="7" t="str">
        <f t="shared" si="4"/>
        <v>#N/A</v>
      </c>
      <c r="P5" s="7" t="str">
        <f t="shared" si="4"/>
        <v>#N/A</v>
      </c>
      <c r="Q5" s="7" t="str">
        <f t="shared" si="4"/>
        <v>#N/A</v>
      </c>
    </row>
    <row r="6" ht="15.75" customHeight="1">
      <c r="A6" s="4">
        <v>1.0</v>
      </c>
      <c r="B6" s="5">
        <v>45901.0</v>
      </c>
      <c r="K6" s="6">
        <f t="shared" si="2"/>
        <v>24</v>
      </c>
      <c r="L6" s="7" t="str">
        <f t="shared" ref="L6:Q6" si="5">$J$2</f>
        <v>#N/A</v>
      </c>
      <c r="M6" s="7" t="str">
        <f t="shared" si="5"/>
        <v>#N/A</v>
      </c>
      <c r="N6" s="7" t="str">
        <f t="shared" si="5"/>
        <v>#N/A</v>
      </c>
      <c r="O6" s="7" t="str">
        <f t="shared" si="5"/>
        <v>#N/A</v>
      </c>
      <c r="P6" s="7" t="str">
        <f t="shared" si="5"/>
        <v>#N/A</v>
      </c>
      <c r="Q6" s="7" t="str">
        <f t="shared" si="5"/>
        <v>#N/A</v>
      </c>
    </row>
    <row r="7" ht="15.75" customHeight="1">
      <c r="A7" s="4">
        <v>3.0</v>
      </c>
      <c r="B7" s="5">
        <v>45902.0</v>
      </c>
      <c r="K7" s="6">
        <f t="shared" si="2"/>
        <v>22</v>
      </c>
      <c r="L7" s="7" t="str">
        <f t="shared" ref="L7:Q7" si="6">$J$2</f>
        <v>#N/A</v>
      </c>
      <c r="M7" s="7" t="str">
        <f t="shared" si="6"/>
        <v>#N/A</v>
      </c>
      <c r="N7" s="7" t="str">
        <f t="shared" si="6"/>
        <v>#N/A</v>
      </c>
      <c r="O7" s="7" t="str">
        <f t="shared" si="6"/>
        <v>#N/A</v>
      </c>
      <c r="P7" s="7" t="str">
        <f t="shared" si="6"/>
        <v>#N/A</v>
      </c>
      <c r="Q7" s="7" t="str">
        <f t="shared" si="6"/>
        <v>#N/A</v>
      </c>
    </row>
    <row r="8" ht="15.75" customHeight="1">
      <c r="A8" s="4">
        <v>1.0</v>
      </c>
      <c r="B8" s="5">
        <v>45905.0</v>
      </c>
      <c r="K8" s="6">
        <f t="shared" si="2"/>
        <v>24</v>
      </c>
      <c r="L8" s="7" t="str">
        <f t="shared" ref="L8:Q8" si="7">$J$2</f>
        <v>#N/A</v>
      </c>
      <c r="M8" s="7" t="str">
        <f t="shared" si="7"/>
        <v>#N/A</v>
      </c>
      <c r="N8" s="7" t="str">
        <f t="shared" si="7"/>
        <v>#N/A</v>
      </c>
      <c r="O8" s="7" t="str">
        <f t="shared" si="7"/>
        <v>#N/A</v>
      </c>
      <c r="P8" s="7" t="str">
        <f t="shared" si="7"/>
        <v>#N/A</v>
      </c>
      <c r="Q8" s="7" t="str">
        <f t="shared" si="7"/>
        <v>#N/A</v>
      </c>
    </row>
    <row r="9" ht="15.75" customHeight="1">
      <c r="A9" s="4">
        <v>1.0</v>
      </c>
      <c r="B9" s="5">
        <v>45907.0</v>
      </c>
      <c r="K9" s="6">
        <f t="shared" si="2"/>
        <v>24</v>
      </c>
      <c r="L9" s="7" t="str">
        <f t="shared" ref="L9:Q9" si="8">$J$2</f>
        <v>#N/A</v>
      </c>
      <c r="M9" s="7" t="str">
        <f t="shared" si="8"/>
        <v>#N/A</v>
      </c>
      <c r="N9" s="7" t="str">
        <f t="shared" si="8"/>
        <v>#N/A</v>
      </c>
      <c r="O9" s="7" t="str">
        <f t="shared" si="8"/>
        <v>#N/A</v>
      </c>
      <c r="P9" s="7" t="str">
        <f t="shared" si="8"/>
        <v>#N/A</v>
      </c>
      <c r="Q9" s="7" t="str">
        <f t="shared" si="8"/>
        <v>#N/A</v>
      </c>
    </row>
    <row r="10" ht="15.75" customHeight="1">
      <c r="A10" s="4">
        <v>1.0</v>
      </c>
      <c r="B10" s="5">
        <v>45908.0</v>
      </c>
      <c r="K10" s="6">
        <f t="shared" si="2"/>
        <v>24</v>
      </c>
      <c r="L10" s="7" t="str">
        <f t="shared" ref="L10:Q10" si="9">$J$2</f>
        <v>#N/A</v>
      </c>
      <c r="M10" s="7" t="str">
        <f t="shared" si="9"/>
        <v>#N/A</v>
      </c>
      <c r="N10" s="7" t="str">
        <f t="shared" si="9"/>
        <v>#N/A</v>
      </c>
      <c r="O10" s="7" t="str">
        <f t="shared" si="9"/>
        <v>#N/A</v>
      </c>
      <c r="P10" s="7" t="str">
        <f t="shared" si="9"/>
        <v>#N/A</v>
      </c>
      <c r="Q10" s="7" t="str">
        <f t="shared" si="9"/>
        <v>#N/A</v>
      </c>
    </row>
    <row r="11" ht="15.75" customHeight="1">
      <c r="A11" s="4">
        <v>1.0</v>
      </c>
      <c r="B11" s="5">
        <v>45909.0</v>
      </c>
      <c r="K11" s="6">
        <f t="shared" si="2"/>
        <v>24</v>
      </c>
      <c r="L11" s="7" t="str">
        <f t="shared" ref="L11:Q11" si="10">$J$2</f>
        <v>#N/A</v>
      </c>
      <c r="M11" s="7" t="str">
        <f t="shared" si="10"/>
        <v>#N/A</v>
      </c>
      <c r="N11" s="7" t="str">
        <f t="shared" si="10"/>
        <v>#N/A</v>
      </c>
      <c r="O11" s="7" t="str">
        <f t="shared" si="10"/>
        <v>#N/A</v>
      </c>
      <c r="P11" s="7" t="str">
        <f t="shared" si="10"/>
        <v>#N/A</v>
      </c>
      <c r="Q11" s="7" t="str">
        <f t="shared" si="10"/>
        <v>#N/A</v>
      </c>
    </row>
    <row r="12" ht="15.75" customHeight="1">
      <c r="A12" s="4">
        <v>2.0</v>
      </c>
      <c r="B12" s="5">
        <v>45911.0</v>
      </c>
      <c r="K12" s="7" t="str">
        <f t="shared" ref="K12:K58" si="12">$J$2</f>
        <v>#N/A</v>
      </c>
      <c r="L12" s="6">
        <f t="shared" ref="L12:L16" si="13">$J$1-$A12</f>
        <v>23</v>
      </c>
      <c r="M12" s="7" t="str">
        <f t="shared" ref="M12:Q12" si="11">$J$2</f>
        <v>#N/A</v>
      </c>
      <c r="N12" s="7" t="str">
        <f t="shared" si="11"/>
        <v>#N/A</v>
      </c>
      <c r="O12" s="7" t="str">
        <f t="shared" si="11"/>
        <v>#N/A</v>
      </c>
      <c r="P12" s="7" t="str">
        <f t="shared" si="11"/>
        <v>#N/A</v>
      </c>
      <c r="Q12" s="7" t="str">
        <f t="shared" si="11"/>
        <v>#N/A</v>
      </c>
    </row>
    <row r="13" ht="15.75" customHeight="1">
      <c r="A13" s="4">
        <v>3.0</v>
      </c>
      <c r="B13" s="5">
        <v>45912.0</v>
      </c>
      <c r="K13" s="7" t="str">
        <f t="shared" si="12"/>
        <v>#N/A</v>
      </c>
      <c r="L13" s="6">
        <f t="shared" si="13"/>
        <v>22</v>
      </c>
      <c r="M13" s="7" t="str">
        <f t="shared" ref="M13:Q13" si="14">$J$2</f>
        <v>#N/A</v>
      </c>
      <c r="N13" s="7" t="str">
        <f t="shared" si="14"/>
        <v>#N/A</v>
      </c>
      <c r="O13" s="7" t="str">
        <f t="shared" si="14"/>
        <v>#N/A</v>
      </c>
      <c r="P13" s="7" t="str">
        <f t="shared" si="14"/>
        <v>#N/A</v>
      </c>
      <c r="Q13" s="7" t="str">
        <f t="shared" si="14"/>
        <v>#N/A</v>
      </c>
    </row>
    <row r="14" ht="15.75" customHeight="1">
      <c r="A14" s="4">
        <v>1.0</v>
      </c>
      <c r="B14" s="5">
        <v>45916.0</v>
      </c>
      <c r="K14" s="7" t="str">
        <f t="shared" si="12"/>
        <v>#N/A</v>
      </c>
      <c r="L14" s="6">
        <f t="shared" si="13"/>
        <v>24</v>
      </c>
      <c r="M14" s="7" t="str">
        <f t="shared" ref="M14:Q14" si="15">$J$2</f>
        <v>#N/A</v>
      </c>
      <c r="N14" s="7" t="str">
        <f t="shared" si="15"/>
        <v>#N/A</v>
      </c>
      <c r="O14" s="7" t="str">
        <f t="shared" si="15"/>
        <v>#N/A</v>
      </c>
      <c r="P14" s="7" t="str">
        <f t="shared" si="15"/>
        <v>#N/A</v>
      </c>
      <c r="Q14" s="7" t="str">
        <f t="shared" si="15"/>
        <v>#N/A</v>
      </c>
    </row>
    <row r="15" ht="15.75" customHeight="1">
      <c r="A15" s="4">
        <v>2.0</v>
      </c>
      <c r="B15" s="5">
        <v>45919.0</v>
      </c>
      <c r="K15" s="7" t="str">
        <f t="shared" si="12"/>
        <v>#N/A</v>
      </c>
      <c r="L15" s="6">
        <f t="shared" si="13"/>
        <v>23</v>
      </c>
      <c r="M15" s="7" t="str">
        <f t="shared" ref="M15:Q15" si="16">$J$2</f>
        <v>#N/A</v>
      </c>
      <c r="N15" s="7" t="str">
        <f t="shared" si="16"/>
        <v>#N/A</v>
      </c>
      <c r="O15" s="7" t="str">
        <f t="shared" si="16"/>
        <v>#N/A</v>
      </c>
      <c r="P15" s="7" t="str">
        <f t="shared" si="16"/>
        <v>#N/A</v>
      </c>
      <c r="Q15" s="7" t="str">
        <f t="shared" si="16"/>
        <v>#N/A</v>
      </c>
    </row>
    <row r="16" ht="15.75" customHeight="1">
      <c r="A16" s="4">
        <v>1.0</v>
      </c>
      <c r="B16" s="5">
        <v>45923.0</v>
      </c>
      <c r="K16" s="7" t="str">
        <f t="shared" si="12"/>
        <v>#N/A</v>
      </c>
      <c r="L16" s="6">
        <f t="shared" si="13"/>
        <v>24</v>
      </c>
      <c r="M16" s="7" t="str">
        <f t="shared" ref="M16:Q16" si="17">$J$2</f>
        <v>#N/A</v>
      </c>
      <c r="N16" s="7" t="str">
        <f t="shared" si="17"/>
        <v>#N/A</v>
      </c>
      <c r="O16" s="7" t="str">
        <f t="shared" si="17"/>
        <v>#N/A</v>
      </c>
      <c r="P16" s="7" t="str">
        <f t="shared" si="17"/>
        <v>#N/A</v>
      </c>
      <c r="Q16" s="7" t="str">
        <f t="shared" si="17"/>
        <v>#N/A</v>
      </c>
    </row>
    <row r="17" ht="15.75" customHeight="1">
      <c r="A17" s="4">
        <v>3.0</v>
      </c>
      <c r="B17" s="5">
        <v>45925.0</v>
      </c>
      <c r="K17" s="7" t="str">
        <f t="shared" si="12"/>
        <v>#N/A</v>
      </c>
      <c r="L17" s="7" t="str">
        <f t="shared" ref="L17:L58" si="19">$J$2</f>
        <v>#N/A</v>
      </c>
      <c r="M17" s="6">
        <f t="shared" ref="M17:M23" si="20">$J$1-$A17</f>
        <v>22</v>
      </c>
      <c r="N17" s="7" t="str">
        <f t="shared" ref="N17:Q17" si="18">$J$2</f>
        <v>#N/A</v>
      </c>
      <c r="O17" s="7" t="str">
        <f t="shared" si="18"/>
        <v>#N/A</v>
      </c>
      <c r="P17" s="7" t="str">
        <f t="shared" si="18"/>
        <v>#N/A</v>
      </c>
      <c r="Q17" s="7" t="str">
        <f t="shared" si="18"/>
        <v>#N/A</v>
      </c>
    </row>
    <row r="18" ht="15.75" customHeight="1">
      <c r="A18" s="4">
        <v>1.0</v>
      </c>
      <c r="B18" s="5">
        <v>45926.0</v>
      </c>
      <c r="K18" s="7" t="str">
        <f t="shared" si="12"/>
        <v>#N/A</v>
      </c>
      <c r="L18" s="7" t="str">
        <f t="shared" si="19"/>
        <v>#N/A</v>
      </c>
      <c r="M18" s="6">
        <f t="shared" si="20"/>
        <v>24</v>
      </c>
      <c r="N18" s="7" t="str">
        <f t="shared" ref="N18:Q18" si="21">$J$2</f>
        <v>#N/A</v>
      </c>
      <c r="O18" s="7" t="str">
        <f t="shared" si="21"/>
        <v>#N/A</v>
      </c>
      <c r="P18" s="7" t="str">
        <f t="shared" si="21"/>
        <v>#N/A</v>
      </c>
      <c r="Q18" s="7" t="str">
        <f t="shared" si="21"/>
        <v>#N/A</v>
      </c>
    </row>
    <row r="19" ht="15.75" customHeight="1">
      <c r="A19" s="6">
        <v>2.0</v>
      </c>
      <c r="B19" s="9">
        <v>45930.0</v>
      </c>
      <c r="K19" s="7" t="str">
        <f t="shared" si="12"/>
        <v>#N/A</v>
      </c>
      <c r="L19" s="7" t="str">
        <f t="shared" si="19"/>
        <v>#N/A</v>
      </c>
      <c r="M19" s="6">
        <f t="shared" si="20"/>
        <v>23</v>
      </c>
      <c r="N19" s="7" t="str">
        <f t="shared" ref="N19:Q19" si="22">$J$2</f>
        <v>#N/A</v>
      </c>
      <c r="O19" s="7" t="str">
        <f t="shared" si="22"/>
        <v>#N/A</v>
      </c>
      <c r="P19" s="7" t="str">
        <f t="shared" si="22"/>
        <v>#N/A</v>
      </c>
      <c r="Q19" s="7" t="str">
        <f t="shared" si="22"/>
        <v>#N/A</v>
      </c>
    </row>
    <row r="20" ht="15.75" customHeight="1">
      <c r="A20" s="6">
        <v>2.0</v>
      </c>
      <c r="B20" s="9">
        <v>45932.0</v>
      </c>
      <c r="K20" s="7" t="str">
        <f t="shared" si="12"/>
        <v>#N/A</v>
      </c>
      <c r="L20" s="7" t="str">
        <f t="shared" si="19"/>
        <v>#N/A</v>
      </c>
      <c r="M20" s="6">
        <f t="shared" si="20"/>
        <v>23</v>
      </c>
      <c r="N20" s="7" t="str">
        <f t="shared" ref="N20:Q20" si="23">$J$2</f>
        <v>#N/A</v>
      </c>
      <c r="O20" s="7" t="str">
        <f t="shared" si="23"/>
        <v>#N/A</v>
      </c>
      <c r="P20" s="7" t="str">
        <f t="shared" si="23"/>
        <v>#N/A</v>
      </c>
      <c r="Q20" s="7" t="str">
        <f t="shared" si="23"/>
        <v>#N/A</v>
      </c>
    </row>
    <row r="21" ht="15.75" customHeight="1">
      <c r="A21" s="6">
        <v>3.0</v>
      </c>
      <c r="B21" s="9">
        <v>45933.0</v>
      </c>
      <c r="K21" s="7" t="str">
        <f t="shared" si="12"/>
        <v>#N/A</v>
      </c>
      <c r="L21" s="7" t="str">
        <f t="shared" si="19"/>
        <v>#N/A</v>
      </c>
      <c r="M21" s="6">
        <f t="shared" si="20"/>
        <v>22</v>
      </c>
      <c r="N21" s="7" t="str">
        <f t="shared" ref="N21:Q21" si="24">$J$2</f>
        <v>#N/A</v>
      </c>
      <c r="O21" s="7" t="str">
        <f t="shared" si="24"/>
        <v>#N/A</v>
      </c>
      <c r="P21" s="7" t="str">
        <f t="shared" si="24"/>
        <v>#N/A</v>
      </c>
      <c r="Q21" s="7" t="str">
        <f t="shared" si="24"/>
        <v>#N/A</v>
      </c>
    </row>
    <row r="22" ht="15.75" customHeight="1">
      <c r="A22" s="1">
        <v>8.0</v>
      </c>
      <c r="B22" s="9">
        <v>45935.0</v>
      </c>
      <c r="K22" s="7" t="str">
        <f t="shared" si="12"/>
        <v>#N/A</v>
      </c>
      <c r="L22" s="7" t="str">
        <f t="shared" si="19"/>
        <v>#N/A</v>
      </c>
      <c r="M22" s="6">
        <f t="shared" si="20"/>
        <v>17</v>
      </c>
      <c r="N22" s="7" t="str">
        <f t="shared" ref="N22:Q22" si="25">$J$2</f>
        <v>#N/A</v>
      </c>
      <c r="O22" s="7" t="str">
        <f t="shared" si="25"/>
        <v>#N/A</v>
      </c>
      <c r="P22" s="7" t="str">
        <f t="shared" si="25"/>
        <v>#N/A</v>
      </c>
      <c r="Q22" s="7" t="str">
        <f t="shared" si="25"/>
        <v>#N/A</v>
      </c>
    </row>
    <row r="23" ht="15.75" customHeight="1">
      <c r="A23" s="6">
        <v>5.0</v>
      </c>
      <c r="B23" s="9">
        <v>45937.0</v>
      </c>
      <c r="K23" s="7" t="str">
        <f t="shared" si="12"/>
        <v>#N/A</v>
      </c>
      <c r="L23" s="7" t="str">
        <f t="shared" si="19"/>
        <v>#N/A</v>
      </c>
      <c r="M23" s="6">
        <f t="shared" si="20"/>
        <v>20</v>
      </c>
      <c r="N23" s="7" t="str">
        <f t="shared" ref="N23:Q23" si="26">$J$2</f>
        <v>#N/A</v>
      </c>
      <c r="O23" s="7" t="str">
        <f t="shared" si="26"/>
        <v>#N/A</v>
      </c>
      <c r="P23" s="7" t="str">
        <f t="shared" si="26"/>
        <v>#N/A</v>
      </c>
      <c r="Q23" s="7" t="str">
        <f t="shared" si="26"/>
        <v>#N/A</v>
      </c>
    </row>
    <row r="24" ht="15.75" customHeight="1">
      <c r="A24" s="6">
        <v>2.0</v>
      </c>
      <c r="B24" s="9">
        <v>45943.0</v>
      </c>
      <c r="K24" s="7" t="str">
        <f t="shared" si="12"/>
        <v>#N/A</v>
      </c>
      <c r="L24" s="7" t="str">
        <f t="shared" si="19"/>
        <v>#N/A</v>
      </c>
      <c r="M24" s="7" t="str">
        <f t="shared" ref="M24:M58" si="28">$J$2</f>
        <v>#N/A</v>
      </c>
      <c r="N24" s="6">
        <f t="shared" ref="N24:N34" si="29">$J$1-$A24</f>
        <v>23</v>
      </c>
      <c r="O24" s="7" t="str">
        <f t="shared" ref="O24:Q24" si="27">$J$2</f>
        <v>#N/A</v>
      </c>
      <c r="P24" s="7" t="str">
        <f t="shared" si="27"/>
        <v>#N/A</v>
      </c>
      <c r="Q24" s="7" t="str">
        <f t="shared" si="27"/>
        <v>#N/A</v>
      </c>
    </row>
    <row r="25" ht="15.75" customHeight="1">
      <c r="A25" s="6">
        <v>4.0</v>
      </c>
      <c r="B25" s="9">
        <v>45944.0</v>
      </c>
      <c r="G25" s="10"/>
      <c r="K25" s="7" t="str">
        <f t="shared" si="12"/>
        <v>#N/A</v>
      </c>
      <c r="L25" s="7" t="str">
        <f t="shared" si="19"/>
        <v>#N/A</v>
      </c>
      <c r="M25" s="7" t="str">
        <f t="shared" si="28"/>
        <v>#N/A</v>
      </c>
      <c r="N25" s="6">
        <f t="shared" si="29"/>
        <v>21</v>
      </c>
      <c r="O25" s="7" t="str">
        <f t="shared" ref="O25:Q25" si="30">$J$2</f>
        <v>#N/A</v>
      </c>
      <c r="P25" s="7" t="str">
        <f t="shared" si="30"/>
        <v>#N/A</v>
      </c>
      <c r="Q25" s="7" t="str">
        <f t="shared" si="30"/>
        <v>#N/A</v>
      </c>
    </row>
    <row r="26" ht="15.75" customHeight="1">
      <c r="A26" s="6">
        <v>1.0</v>
      </c>
      <c r="B26" s="9">
        <v>45946.0</v>
      </c>
      <c r="K26" s="7" t="str">
        <f t="shared" si="12"/>
        <v>#N/A</v>
      </c>
      <c r="L26" s="7" t="str">
        <f t="shared" si="19"/>
        <v>#N/A</v>
      </c>
      <c r="M26" s="7" t="str">
        <f t="shared" si="28"/>
        <v>#N/A</v>
      </c>
      <c r="N26" s="6">
        <f t="shared" si="29"/>
        <v>24</v>
      </c>
      <c r="O26" s="7" t="str">
        <f t="shared" ref="O26:Q26" si="31">$J$2</f>
        <v>#N/A</v>
      </c>
      <c r="P26" s="7" t="str">
        <f t="shared" si="31"/>
        <v>#N/A</v>
      </c>
      <c r="Q26" s="7" t="str">
        <f t="shared" si="31"/>
        <v>#N/A</v>
      </c>
    </row>
    <row r="27" ht="15.75" customHeight="1">
      <c r="A27" s="6">
        <v>7.0</v>
      </c>
      <c r="B27" s="9">
        <v>45947.0</v>
      </c>
      <c r="K27" s="7" t="str">
        <f t="shared" si="12"/>
        <v>#N/A</v>
      </c>
      <c r="L27" s="7" t="str">
        <f t="shared" si="19"/>
        <v>#N/A</v>
      </c>
      <c r="M27" s="7" t="str">
        <f t="shared" si="28"/>
        <v>#N/A</v>
      </c>
      <c r="N27" s="6">
        <f t="shared" si="29"/>
        <v>18</v>
      </c>
      <c r="O27" s="7" t="str">
        <f t="shared" ref="O27:Q27" si="32">$J$2</f>
        <v>#N/A</v>
      </c>
      <c r="P27" s="7" t="str">
        <f t="shared" si="32"/>
        <v>#N/A</v>
      </c>
      <c r="Q27" s="7" t="str">
        <f t="shared" si="32"/>
        <v>#N/A</v>
      </c>
    </row>
    <row r="28" ht="15.75" customHeight="1">
      <c r="A28" s="6">
        <v>6.0</v>
      </c>
      <c r="B28" s="9">
        <v>45948.0</v>
      </c>
      <c r="K28" s="7" t="str">
        <f t="shared" si="12"/>
        <v>#N/A</v>
      </c>
      <c r="L28" s="7" t="str">
        <f t="shared" si="19"/>
        <v>#N/A</v>
      </c>
      <c r="M28" s="7" t="str">
        <f t="shared" si="28"/>
        <v>#N/A</v>
      </c>
      <c r="N28" s="6">
        <f t="shared" si="29"/>
        <v>19</v>
      </c>
      <c r="O28" s="7" t="str">
        <f t="shared" ref="O28:Q28" si="33">$J$2</f>
        <v>#N/A</v>
      </c>
      <c r="P28" s="7" t="str">
        <f t="shared" si="33"/>
        <v>#N/A</v>
      </c>
      <c r="Q28" s="7" t="str">
        <f t="shared" si="33"/>
        <v>#N/A</v>
      </c>
    </row>
    <row r="29" ht="15.75" customHeight="1">
      <c r="A29" s="6">
        <v>7.0</v>
      </c>
      <c r="B29" s="9">
        <v>45951.0</v>
      </c>
      <c r="K29" s="7" t="str">
        <f t="shared" si="12"/>
        <v>#N/A</v>
      </c>
      <c r="L29" s="7" t="str">
        <f t="shared" si="19"/>
        <v>#N/A</v>
      </c>
      <c r="M29" s="7" t="str">
        <f t="shared" si="28"/>
        <v>#N/A</v>
      </c>
      <c r="N29" s="6">
        <f t="shared" si="29"/>
        <v>18</v>
      </c>
      <c r="O29" s="7" t="str">
        <f t="shared" ref="O29:Q29" si="34">$J$2</f>
        <v>#N/A</v>
      </c>
      <c r="P29" s="7" t="str">
        <f t="shared" si="34"/>
        <v>#N/A</v>
      </c>
      <c r="Q29" s="7" t="str">
        <f t="shared" si="34"/>
        <v>#N/A</v>
      </c>
    </row>
    <row r="30" ht="15.75" customHeight="1">
      <c r="A30" s="6">
        <v>1.0</v>
      </c>
      <c r="B30" s="9">
        <v>45953.0</v>
      </c>
      <c r="K30" s="7" t="str">
        <f t="shared" si="12"/>
        <v>#N/A</v>
      </c>
      <c r="L30" s="7" t="str">
        <f t="shared" si="19"/>
        <v>#N/A</v>
      </c>
      <c r="M30" s="7" t="str">
        <f t="shared" si="28"/>
        <v>#N/A</v>
      </c>
      <c r="N30" s="6">
        <f t="shared" si="29"/>
        <v>24</v>
      </c>
      <c r="O30" s="7" t="str">
        <f t="shared" ref="O30:Q30" si="35">$J$2</f>
        <v>#N/A</v>
      </c>
      <c r="P30" s="7" t="str">
        <f t="shared" si="35"/>
        <v>#N/A</v>
      </c>
      <c r="Q30" s="7" t="str">
        <f t="shared" si="35"/>
        <v>#N/A</v>
      </c>
    </row>
    <row r="31" ht="15.75" customHeight="1">
      <c r="A31" s="6">
        <v>3.0</v>
      </c>
      <c r="B31" s="9">
        <v>45954.0</v>
      </c>
      <c r="K31" s="7" t="str">
        <f t="shared" si="12"/>
        <v>#N/A</v>
      </c>
      <c r="L31" s="7" t="str">
        <f t="shared" si="19"/>
        <v>#N/A</v>
      </c>
      <c r="M31" s="7" t="str">
        <f t="shared" si="28"/>
        <v>#N/A</v>
      </c>
      <c r="N31" s="6">
        <f t="shared" si="29"/>
        <v>22</v>
      </c>
      <c r="O31" s="7" t="str">
        <f t="shared" ref="O31:Q31" si="36">$J$2</f>
        <v>#N/A</v>
      </c>
      <c r="P31" s="7" t="str">
        <f t="shared" si="36"/>
        <v>#N/A</v>
      </c>
      <c r="Q31" s="7" t="str">
        <f t="shared" si="36"/>
        <v>#N/A</v>
      </c>
    </row>
    <row r="32" ht="15.75" customHeight="1">
      <c r="A32" s="6">
        <v>6.0</v>
      </c>
      <c r="B32" s="9">
        <v>45956.0</v>
      </c>
      <c r="K32" s="7" t="str">
        <f t="shared" si="12"/>
        <v>#N/A</v>
      </c>
      <c r="L32" s="7" t="str">
        <f t="shared" si="19"/>
        <v>#N/A</v>
      </c>
      <c r="M32" s="7" t="str">
        <f t="shared" si="28"/>
        <v>#N/A</v>
      </c>
      <c r="N32" s="6">
        <f t="shared" si="29"/>
        <v>19</v>
      </c>
      <c r="O32" s="7" t="str">
        <f t="shared" ref="O32:Q32" si="37">$J$2</f>
        <v>#N/A</v>
      </c>
      <c r="P32" s="7" t="str">
        <f t="shared" si="37"/>
        <v>#N/A</v>
      </c>
      <c r="Q32" s="7" t="str">
        <f t="shared" si="37"/>
        <v>#N/A</v>
      </c>
    </row>
    <row r="33" ht="15.75" customHeight="1">
      <c r="A33" s="3">
        <v>9.0</v>
      </c>
      <c r="B33" s="9">
        <v>45957.0</v>
      </c>
      <c r="F33" s="3" t="s">
        <v>14</v>
      </c>
      <c r="K33" s="7" t="str">
        <f t="shared" si="12"/>
        <v>#N/A</v>
      </c>
      <c r="L33" s="7" t="str">
        <f t="shared" si="19"/>
        <v>#N/A</v>
      </c>
      <c r="M33" s="7" t="str">
        <f t="shared" si="28"/>
        <v>#N/A</v>
      </c>
      <c r="N33" s="3">
        <f t="shared" si="29"/>
        <v>16</v>
      </c>
      <c r="O33" s="7" t="str">
        <f t="shared" ref="O33:Q33" si="38">$J$2</f>
        <v>#N/A</v>
      </c>
      <c r="P33" s="7" t="str">
        <f t="shared" si="38"/>
        <v>#N/A</v>
      </c>
      <c r="Q33" s="7" t="str">
        <f t="shared" si="38"/>
        <v>#N/A</v>
      </c>
    </row>
    <row r="34" ht="15.75" customHeight="1">
      <c r="A34" s="3">
        <v>5.0</v>
      </c>
      <c r="B34" s="9">
        <v>45958.0</v>
      </c>
      <c r="F34" s="3" t="s">
        <v>15</v>
      </c>
      <c r="K34" s="7" t="str">
        <f t="shared" si="12"/>
        <v>#N/A</v>
      </c>
      <c r="L34" s="7" t="str">
        <f t="shared" si="19"/>
        <v>#N/A</v>
      </c>
      <c r="M34" s="7" t="str">
        <f t="shared" si="28"/>
        <v>#N/A</v>
      </c>
      <c r="N34" s="3">
        <f t="shared" si="29"/>
        <v>20</v>
      </c>
      <c r="O34" s="7" t="str">
        <f t="shared" ref="O34:Q34" si="39">$J$2</f>
        <v>#N/A</v>
      </c>
      <c r="P34" s="7" t="str">
        <f t="shared" si="39"/>
        <v>#N/A</v>
      </c>
      <c r="Q34" s="7" t="str">
        <f t="shared" si="39"/>
        <v>#N/A</v>
      </c>
    </row>
    <row r="35" ht="15.75" customHeight="1">
      <c r="A35" s="3">
        <v>7.0</v>
      </c>
      <c r="B35" s="9">
        <v>45960.0</v>
      </c>
      <c r="F35" s="3" t="s">
        <v>16</v>
      </c>
      <c r="K35" s="7" t="str">
        <f t="shared" si="12"/>
        <v>#N/A</v>
      </c>
      <c r="L35" s="7" t="str">
        <f t="shared" si="19"/>
        <v>#N/A</v>
      </c>
      <c r="M35" s="7" t="str">
        <f t="shared" si="28"/>
        <v>#N/A</v>
      </c>
      <c r="N35" s="7" t="str">
        <f t="shared" ref="N35:N58" si="41">$J$2</f>
        <v>#N/A</v>
      </c>
      <c r="O35" s="3">
        <f t="shared" ref="O35:O43" si="42">$J$1-$A35</f>
        <v>18</v>
      </c>
      <c r="P35" s="7" t="str">
        <f t="shared" ref="P35:Q35" si="40">$J$2</f>
        <v>#N/A</v>
      </c>
      <c r="Q35" s="7" t="str">
        <f t="shared" si="40"/>
        <v>#N/A</v>
      </c>
    </row>
    <row r="36" ht="15.75" customHeight="1">
      <c r="A36" s="3">
        <v>6.0</v>
      </c>
      <c r="B36" s="9">
        <v>45961.0</v>
      </c>
      <c r="F36" s="3" t="s">
        <v>17</v>
      </c>
      <c r="K36" s="7" t="str">
        <f t="shared" si="12"/>
        <v>#N/A</v>
      </c>
      <c r="L36" s="7" t="str">
        <f t="shared" si="19"/>
        <v>#N/A</v>
      </c>
      <c r="M36" s="7" t="str">
        <f t="shared" si="28"/>
        <v>#N/A</v>
      </c>
      <c r="N36" s="7" t="str">
        <f t="shared" si="41"/>
        <v>#N/A</v>
      </c>
      <c r="O36" s="3">
        <f t="shared" si="42"/>
        <v>19</v>
      </c>
      <c r="P36" s="7" t="str">
        <f t="shared" ref="P36:Q36" si="43">$J$2</f>
        <v>#N/A</v>
      </c>
      <c r="Q36" s="7" t="str">
        <f t="shared" si="43"/>
        <v>#N/A</v>
      </c>
    </row>
    <row r="37" ht="15.75" customHeight="1">
      <c r="A37" s="3">
        <v>1.0</v>
      </c>
      <c r="B37" s="9">
        <v>45962.0</v>
      </c>
      <c r="F37" s="3" t="s">
        <v>18</v>
      </c>
      <c r="K37" s="7" t="str">
        <f t="shared" si="12"/>
        <v>#N/A</v>
      </c>
      <c r="L37" s="7" t="str">
        <f t="shared" si="19"/>
        <v>#N/A</v>
      </c>
      <c r="M37" s="7" t="str">
        <f t="shared" si="28"/>
        <v>#N/A</v>
      </c>
      <c r="N37" s="7" t="str">
        <f t="shared" si="41"/>
        <v>#N/A</v>
      </c>
      <c r="O37" s="3">
        <f t="shared" si="42"/>
        <v>24</v>
      </c>
      <c r="P37" s="7" t="str">
        <f t="shared" ref="P37:Q37" si="44">$J$2</f>
        <v>#N/A</v>
      </c>
      <c r="Q37" s="7" t="str">
        <f t="shared" si="44"/>
        <v>#N/A</v>
      </c>
    </row>
    <row r="38" ht="15.75" customHeight="1">
      <c r="A38" s="3">
        <v>1.0</v>
      </c>
      <c r="B38" s="9">
        <v>45963.0</v>
      </c>
      <c r="K38" s="7" t="str">
        <f t="shared" si="12"/>
        <v>#N/A</v>
      </c>
      <c r="L38" s="7" t="str">
        <f t="shared" si="19"/>
        <v>#N/A</v>
      </c>
      <c r="M38" s="7" t="str">
        <f t="shared" si="28"/>
        <v>#N/A</v>
      </c>
      <c r="N38" s="7" t="str">
        <f t="shared" si="41"/>
        <v>#N/A</v>
      </c>
      <c r="O38" s="3">
        <f t="shared" si="42"/>
        <v>24</v>
      </c>
      <c r="P38" s="7" t="str">
        <f t="shared" ref="P38:Q38" si="45">$J$2</f>
        <v>#N/A</v>
      </c>
      <c r="Q38" s="7" t="str">
        <f t="shared" si="45"/>
        <v>#N/A</v>
      </c>
    </row>
    <row r="39" ht="15.75" customHeight="1">
      <c r="A39" s="3">
        <v>1.0</v>
      </c>
      <c r="B39" s="9">
        <v>45964.0</v>
      </c>
      <c r="D39" s="3" t="s">
        <v>19</v>
      </c>
      <c r="E39" s="3" t="s">
        <v>20</v>
      </c>
      <c r="K39" s="7" t="str">
        <f t="shared" si="12"/>
        <v>#N/A</v>
      </c>
      <c r="L39" s="7" t="str">
        <f t="shared" si="19"/>
        <v>#N/A</v>
      </c>
      <c r="M39" s="7" t="str">
        <f t="shared" si="28"/>
        <v>#N/A</v>
      </c>
      <c r="N39" s="7" t="str">
        <f t="shared" si="41"/>
        <v>#N/A</v>
      </c>
      <c r="O39" s="3">
        <f t="shared" si="42"/>
        <v>24</v>
      </c>
      <c r="P39" s="7" t="str">
        <f t="shared" ref="P39:Q39" si="46">$J$2</f>
        <v>#N/A</v>
      </c>
      <c r="Q39" s="7" t="str">
        <f t="shared" si="46"/>
        <v>#N/A</v>
      </c>
    </row>
    <row r="40" ht="15.75" customHeight="1">
      <c r="A40" s="3">
        <v>12.0</v>
      </c>
      <c r="B40" s="9">
        <v>45965.0</v>
      </c>
      <c r="D40" s="11">
        <v>45895.0</v>
      </c>
      <c r="E40" s="11">
        <f>TODAY()</f>
        <v>45982</v>
      </c>
      <c r="K40" s="7" t="str">
        <f t="shared" si="12"/>
        <v>#N/A</v>
      </c>
      <c r="L40" s="7" t="str">
        <f t="shared" si="19"/>
        <v>#N/A</v>
      </c>
      <c r="M40" s="7" t="str">
        <f t="shared" si="28"/>
        <v>#N/A</v>
      </c>
      <c r="N40" s="7" t="str">
        <f t="shared" si="41"/>
        <v>#N/A</v>
      </c>
      <c r="O40" s="3">
        <f t="shared" si="42"/>
        <v>13</v>
      </c>
      <c r="P40" s="7" t="str">
        <f t="shared" ref="P40:Q40" si="47">$J$2</f>
        <v>#N/A</v>
      </c>
      <c r="Q40" s="7" t="str">
        <f t="shared" si="47"/>
        <v>#N/A</v>
      </c>
    </row>
    <row r="41" ht="15.75" customHeight="1">
      <c r="A41" s="3">
        <v>1.0</v>
      </c>
      <c r="B41" s="9">
        <v>45966.0</v>
      </c>
      <c r="D41" s="12" t="s">
        <v>21</v>
      </c>
      <c r="E41" s="13">
        <f>E40-D40+1</f>
        <v>88</v>
      </c>
      <c r="K41" s="7" t="str">
        <f t="shared" si="12"/>
        <v>#N/A</v>
      </c>
      <c r="L41" s="7" t="str">
        <f t="shared" si="19"/>
        <v>#N/A</v>
      </c>
      <c r="M41" s="7" t="str">
        <f t="shared" si="28"/>
        <v>#N/A</v>
      </c>
      <c r="N41" s="7" t="str">
        <f t="shared" si="41"/>
        <v>#N/A</v>
      </c>
      <c r="O41" s="3">
        <f t="shared" si="42"/>
        <v>24</v>
      </c>
      <c r="P41" s="7" t="str">
        <f t="shared" ref="P41:Q41" si="48">$J$2</f>
        <v>#N/A</v>
      </c>
      <c r="Q41" s="7" t="str">
        <f t="shared" si="48"/>
        <v>#N/A</v>
      </c>
    </row>
    <row r="42" ht="15.75" customHeight="1">
      <c r="A42" s="3">
        <v>7.0</v>
      </c>
      <c r="B42" s="9">
        <v>45967.0</v>
      </c>
      <c r="D42" s="12" t="s">
        <v>22</v>
      </c>
      <c r="E42" s="13">
        <f>COUNTA(A3:A57)</f>
        <v>55</v>
      </c>
      <c r="K42" s="7" t="str">
        <f t="shared" si="12"/>
        <v>#N/A</v>
      </c>
      <c r="L42" s="7" t="str">
        <f t="shared" si="19"/>
        <v>#N/A</v>
      </c>
      <c r="M42" s="7" t="str">
        <f t="shared" si="28"/>
        <v>#N/A</v>
      </c>
      <c r="N42" s="7" t="str">
        <f t="shared" si="41"/>
        <v>#N/A</v>
      </c>
      <c r="O42" s="3">
        <f t="shared" si="42"/>
        <v>18</v>
      </c>
      <c r="P42" s="7" t="str">
        <f t="shared" ref="P42:Q42" si="49">$J$2</f>
        <v>#N/A</v>
      </c>
      <c r="Q42" s="7" t="str">
        <f t="shared" si="49"/>
        <v>#N/A</v>
      </c>
    </row>
    <row r="43" ht="15.75" customHeight="1">
      <c r="A43" s="3">
        <v>5.0</v>
      </c>
      <c r="B43" s="9">
        <v>45968.0</v>
      </c>
      <c r="D43" s="12" t="str">
        <f>"Promedio en días totales: (" &amp; C4 &amp; "/" &amp; E41 &amp; ")"</f>
        <v>Promedio en días totales: (307/88)</v>
      </c>
      <c r="E43" s="14">
        <f>C4/E41</f>
        <v>3.488636364</v>
      </c>
      <c r="K43" s="7" t="str">
        <f t="shared" si="12"/>
        <v>#N/A</v>
      </c>
      <c r="L43" s="7" t="str">
        <f t="shared" si="19"/>
        <v>#N/A</v>
      </c>
      <c r="M43" s="7" t="str">
        <f t="shared" si="28"/>
        <v>#N/A</v>
      </c>
      <c r="N43" s="7" t="str">
        <f t="shared" si="41"/>
        <v>#N/A</v>
      </c>
      <c r="O43" s="3">
        <f t="shared" si="42"/>
        <v>20</v>
      </c>
      <c r="P43" s="7" t="str">
        <f t="shared" ref="P43:Q43" si="50">$J$2</f>
        <v>#N/A</v>
      </c>
      <c r="Q43" s="7" t="str">
        <f t="shared" si="50"/>
        <v>#N/A</v>
      </c>
    </row>
    <row r="44" ht="15.75" customHeight="1">
      <c r="A44" s="3">
        <v>14.0</v>
      </c>
      <c r="B44" s="9">
        <v>45969.0</v>
      </c>
      <c r="D44" s="12" t="str">
        <f>"Promedio en días efectivos: (" &amp; C4 &amp; "/" &amp; E42 &amp; ")"</f>
        <v>Promedio en días efectivos: (307/55)</v>
      </c>
      <c r="E44" s="14">
        <f>AVERAGE(A3:A57)</f>
        <v>5.581818182</v>
      </c>
      <c r="K44" s="7" t="str">
        <f t="shared" si="12"/>
        <v>#N/A</v>
      </c>
      <c r="L44" s="7" t="str">
        <f t="shared" si="19"/>
        <v>#N/A</v>
      </c>
      <c r="M44" s="7" t="str">
        <f t="shared" si="28"/>
        <v>#N/A</v>
      </c>
      <c r="N44" s="7" t="str">
        <f t="shared" si="41"/>
        <v>#N/A</v>
      </c>
      <c r="O44" s="7" t="str">
        <f t="shared" ref="O44:O58" si="51">$J$2</f>
        <v>#N/A</v>
      </c>
      <c r="P44" s="3">
        <f t="shared" ref="P44:P54" si="52">$J$1-$A44</f>
        <v>11</v>
      </c>
      <c r="Q44" s="7" t="str">
        <f t="shared" ref="Q44:Q54" si="53">$J$2</f>
        <v>#N/A</v>
      </c>
    </row>
    <row r="45" ht="15.75" customHeight="1">
      <c r="A45" s="3">
        <v>7.0</v>
      </c>
      <c r="B45" s="9">
        <v>45970.0</v>
      </c>
      <c r="K45" s="7" t="str">
        <f t="shared" si="12"/>
        <v>#N/A</v>
      </c>
      <c r="L45" s="7" t="str">
        <f t="shared" si="19"/>
        <v>#N/A</v>
      </c>
      <c r="M45" s="7" t="str">
        <f t="shared" si="28"/>
        <v>#N/A</v>
      </c>
      <c r="N45" s="7" t="str">
        <f t="shared" si="41"/>
        <v>#N/A</v>
      </c>
      <c r="O45" s="7" t="str">
        <f t="shared" si="51"/>
        <v>#N/A</v>
      </c>
      <c r="P45" s="3">
        <f t="shared" si="52"/>
        <v>18</v>
      </c>
      <c r="Q45" s="7" t="str">
        <f t="shared" si="53"/>
        <v>#N/A</v>
      </c>
    </row>
    <row r="46" ht="15.75" customHeight="1">
      <c r="A46" s="3">
        <v>13.0</v>
      </c>
      <c r="B46" s="9">
        <v>45971.0</v>
      </c>
      <c r="K46" s="7" t="str">
        <f t="shared" si="12"/>
        <v>#N/A</v>
      </c>
      <c r="L46" s="7" t="str">
        <f t="shared" si="19"/>
        <v>#N/A</v>
      </c>
      <c r="M46" s="7" t="str">
        <f t="shared" si="28"/>
        <v>#N/A</v>
      </c>
      <c r="N46" s="7" t="str">
        <f t="shared" si="41"/>
        <v>#N/A</v>
      </c>
      <c r="O46" s="7" t="str">
        <f t="shared" si="51"/>
        <v>#N/A</v>
      </c>
      <c r="P46" s="3">
        <f t="shared" si="52"/>
        <v>12</v>
      </c>
      <c r="Q46" s="7" t="str">
        <f t="shared" si="53"/>
        <v>#N/A</v>
      </c>
    </row>
    <row r="47" ht="15.75" customHeight="1">
      <c r="A47" s="3">
        <v>21.0</v>
      </c>
      <c r="B47" s="9">
        <v>45972.0</v>
      </c>
      <c r="K47" s="7" t="str">
        <f t="shared" si="12"/>
        <v>#N/A</v>
      </c>
      <c r="L47" s="7" t="str">
        <f t="shared" si="19"/>
        <v>#N/A</v>
      </c>
      <c r="M47" s="7" t="str">
        <f t="shared" si="28"/>
        <v>#N/A</v>
      </c>
      <c r="N47" s="7" t="str">
        <f t="shared" si="41"/>
        <v>#N/A</v>
      </c>
      <c r="O47" s="7" t="str">
        <f t="shared" si="51"/>
        <v>#N/A</v>
      </c>
      <c r="P47" s="3">
        <f t="shared" si="52"/>
        <v>4</v>
      </c>
      <c r="Q47" s="7" t="str">
        <f t="shared" si="53"/>
        <v>#N/A</v>
      </c>
    </row>
    <row r="48" ht="15.75" customHeight="1">
      <c r="A48" s="3">
        <v>18.0</v>
      </c>
      <c r="B48" s="9">
        <v>45973.0</v>
      </c>
      <c r="K48" s="7" t="str">
        <f t="shared" si="12"/>
        <v>#N/A</v>
      </c>
      <c r="L48" s="7" t="str">
        <f t="shared" si="19"/>
        <v>#N/A</v>
      </c>
      <c r="M48" s="7" t="str">
        <f t="shared" si="28"/>
        <v>#N/A</v>
      </c>
      <c r="N48" s="7" t="str">
        <f t="shared" si="41"/>
        <v>#N/A</v>
      </c>
      <c r="O48" s="7" t="str">
        <f t="shared" si="51"/>
        <v>#N/A</v>
      </c>
      <c r="P48" s="3">
        <f t="shared" si="52"/>
        <v>7</v>
      </c>
      <c r="Q48" s="7" t="str">
        <f t="shared" si="53"/>
        <v>#N/A</v>
      </c>
    </row>
    <row r="49" ht="15.75" customHeight="1">
      <c r="A49" s="3">
        <v>7.0</v>
      </c>
      <c r="B49" s="9">
        <v>45974.0</v>
      </c>
      <c r="K49" s="7" t="str">
        <f t="shared" si="12"/>
        <v>#N/A</v>
      </c>
      <c r="L49" s="7" t="str">
        <f t="shared" si="19"/>
        <v>#N/A</v>
      </c>
      <c r="M49" s="7" t="str">
        <f t="shared" si="28"/>
        <v>#N/A</v>
      </c>
      <c r="N49" s="7" t="str">
        <f t="shared" si="41"/>
        <v>#N/A</v>
      </c>
      <c r="O49" s="7" t="str">
        <f t="shared" si="51"/>
        <v>#N/A</v>
      </c>
      <c r="P49" s="3">
        <f t="shared" si="52"/>
        <v>18</v>
      </c>
      <c r="Q49" s="7" t="str">
        <f t="shared" si="53"/>
        <v>#N/A</v>
      </c>
    </row>
    <row r="50" ht="15.75" customHeight="1">
      <c r="A50" s="3">
        <v>10.0</v>
      </c>
      <c r="B50" s="9">
        <v>45975.0</v>
      </c>
      <c r="K50" s="7" t="str">
        <f t="shared" si="12"/>
        <v>#N/A</v>
      </c>
      <c r="L50" s="7" t="str">
        <f t="shared" si="19"/>
        <v>#N/A</v>
      </c>
      <c r="M50" s="7" t="str">
        <f t="shared" si="28"/>
        <v>#N/A</v>
      </c>
      <c r="N50" s="7" t="str">
        <f t="shared" si="41"/>
        <v>#N/A</v>
      </c>
      <c r="O50" s="7" t="str">
        <f t="shared" si="51"/>
        <v>#N/A</v>
      </c>
      <c r="P50" s="3">
        <f t="shared" si="52"/>
        <v>15</v>
      </c>
      <c r="Q50" s="7" t="str">
        <f t="shared" si="53"/>
        <v>#N/A</v>
      </c>
    </row>
    <row r="51" ht="15.75" customHeight="1">
      <c r="A51" s="3">
        <v>8.0</v>
      </c>
      <c r="B51" s="9">
        <v>45976.0</v>
      </c>
      <c r="K51" s="7" t="str">
        <f t="shared" si="12"/>
        <v>#N/A</v>
      </c>
      <c r="L51" s="7" t="str">
        <f t="shared" si="19"/>
        <v>#N/A</v>
      </c>
      <c r="M51" s="7" t="str">
        <f t="shared" si="28"/>
        <v>#N/A</v>
      </c>
      <c r="N51" s="7" t="str">
        <f t="shared" si="41"/>
        <v>#N/A</v>
      </c>
      <c r="O51" s="7" t="str">
        <f t="shared" si="51"/>
        <v>#N/A</v>
      </c>
      <c r="P51" s="3">
        <f t="shared" si="52"/>
        <v>17</v>
      </c>
      <c r="Q51" s="7" t="str">
        <f t="shared" si="53"/>
        <v>#N/A</v>
      </c>
    </row>
    <row r="52" ht="15.75" customHeight="1">
      <c r="A52" s="3">
        <v>7.0</v>
      </c>
      <c r="B52" s="9">
        <v>45977.0</v>
      </c>
      <c r="K52" s="7" t="str">
        <f t="shared" si="12"/>
        <v>#N/A</v>
      </c>
      <c r="L52" s="7" t="str">
        <f t="shared" si="19"/>
        <v>#N/A</v>
      </c>
      <c r="M52" s="7" t="str">
        <f t="shared" si="28"/>
        <v>#N/A</v>
      </c>
      <c r="N52" s="7" t="str">
        <f t="shared" si="41"/>
        <v>#N/A</v>
      </c>
      <c r="O52" s="7" t="str">
        <f t="shared" si="51"/>
        <v>#N/A</v>
      </c>
      <c r="P52" s="3">
        <f t="shared" si="52"/>
        <v>18</v>
      </c>
      <c r="Q52" s="7" t="str">
        <f t="shared" si="53"/>
        <v>#N/A</v>
      </c>
    </row>
    <row r="53" ht="15.75" customHeight="1">
      <c r="A53" s="3">
        <v>12.0</v>
      </c>
      <c r="B53" s="9">
        <v>45978.0</v>
      </c>
      <c r="F53" s="3" t="s">
        <v>23</v>
      </c>
      <c r="G53" s="3">
        <v>65.0</v>
      </c>
      <c r="H53" s="15" t="s">
        <v>24</v>
      </c>
      <c r="I53" s="16">
        <f t="shared" ref="I53:I54" si="54">SUM(G53,G55)</f>
        <v>100</v>
      </c>
      <c r="K53" s="7" t="str">
        <f t="shared" si="12"/>
        <v>#N/A</v>
      </c>
      <c r="L53" s="7" t="str">
        <f t="shared" si="19"/>
        <v>#N/A</v>
      </c>
      <c r="M53" s="7" t="str">
        <f t="shared" si="28"/>
        <v>#N/A</v>
      </c>
      <c r="N53" s="7" t="str">
        <f t="shared" si="41"/>
        <v>#N/A</v>
      </c>
      <c r="O53" s="7" t="str">
        <f t="shared" si="51"/>
        <v>#N/A</v>
      </c>
      <c r="P53" s="3">
        <f t="shared" si="52"/>
        <v>13</v>
      </c>
      <c r="Q53" s="7" t="str">
        <f t="shared" si="53"/>
        <v>#N/A</v>
      </c>
    </row>
    <row r="54" ht="15.75" customHeight="1">
      <c r="A54" s="3">
        <v>19.0</v>
      </c>
      <c r="B54" s="9">
        <v>45979.0</v>
      </c>
      <c r="F54" s="3" t="s">
        <v>25</v>
      </c>
      <c r="G54" s="3">
        <v>95.0</v>
      </c>
      <c r="H54" s="15" t="s">
        <v>26</v>
      </c>
      <c r="I54" s="16">
        <f t="shared" si="54"/>
        <v>171</v>
      </c>
      <c r="K54" s="7" t="str">
        <f t="shared" si="12"/>
        <v>#N/A</v>
      </c>
      <c r="L54" s="7" t="str">
        <f t="shared" si="19"/>
        <v>#N/A</v>
      </c>
      <c r="M54" s="7" t="str">
        <f t="shared" si="28"/>
        <v>#N/A</v>
      </c>
      <c r="N54" s="7" t="str">
        <f t="shared" si="41"/>
        <v>#N/A</v>
      </c>
      <c r="O54" s="7" t="str">
        <f t="shared" si="51"/>
        <v>#N/A</v>
      </c>
      <c r="P54" s="3">
        <f t="shared" si="52"/>
        <v>6</v>
      </c>
      <c r="Q54" s="7" t="str">
        <f t="shared" si="53"/>
        <v>#N/A</v>
      </c>
    </row>
    <row r="55" ht="15.75" customHeight="1">
      <c r="A55" s="3">
        <v>8.0</v>
      </c>
      <c r="B55" s="9">
        <v>45980.0</v>
      </c>
      <c r="F55" s="3" t="s">
        <v>27</v>
      </c>
      <c r="G55" s="3">
        <v>35.0</v>
      </c>
      <c r="H55" s="15" t="s">
        <v>28</v>
      </c>
      <c r="I55" s="15">
        <v>35.0</v>
      </c>
      <c r="K55" s="7" t="str">
        <f t="shared" si="12"/>
        <v>#N/A</v>
      </c>
      <c r="L55" s="7" t="str">
        <f t="shared" si="19"/>
        <v>#N/A</v>
      </c>
      <c r="M55" s="7" t="str">
        <f t="shared" si="28"/>
        <v>#N/A</v>
      </c>
      <c r="N55" s="7" t="str">
        <f t="shared" si="41"/>
        <v>#N/A</v>
      </c>
      <c r="O55" s="7" t="str">
        <f t="shared" si="51"/>
        <v>#N/A</v>
      </c>
      <c r="P55" s="7" t="str">
        <f t="shared" ref="P55:P58" si="55">$J$2</f>
        <v>#N/A</v>
      </c>
      <c r="Q55" s="3">
        <f t="shared" ref="Q55:Q58" si="56">$J$1-$A55</f>
        <v>17</v>
      </c>
    </row>
    <row r="56" ht="15.75" customHeight="1">
      <c r="A56" s="3">
        <v>13.0</v>
      </c>
      <c r="B56" s="9">
        <v>45981.0</v>
      </c>
      <c r="F56" s="3" t="s">
        <v>29</v>
      </c>
      <c r="G56" s="3">
        <v>76.0</v>
      </c>
      <c r="H56" s="3" t="s">
        <v>30</v>
      </c>
      <c r="I56" s="13">
        <f>SUM(G53:G57)</f>
        <v>306</v>
      </c>
      <c r="K56" s="7" t="str">
        <f t="shared" si="12"/>
        <v>#N/A</v>
      </c>
      <c r="L56" s="7" t="str">
        <f t="shared" si="19"/>
        <v>#N/A</v>
      </c>
      <c r="M56" s="7" t="str">
        <f t="shared" si="28"/>
        <v>#N/A</v>
      </c>
      <c r="N56" s="7" t="str">
        <f t="shared" si="41"/>
        <v>#N/A</v>
      </c>
      <c r="O56" s="7" t="str">
        <f t="shared" si="51"/>
        <v>#N/A</v>
      </c>
      <c r="P56" s="7" t="str">
        <f t="shared" si="55"/>
        <v>#N/A</v>
      </c>
      <c r="Q56" s="3">
        <f t="shared" si="56"/>
        <v>12</v>
      </c>
    </row>
    <row r="57" ht="15.75" customHeight="1">
      <c r="A57" s="3">
        <v>3.0</v>
      </c>
      <c r="B57" s="9">
        <v>45982.0</v>
      </c>
      <c r="F57" s="3" t="s">
        <v>31</v>
      </c>
      <c r="G57" s="3">
        <v>35.0</v>
      </c>
      <c r="K57" s="7" t="str">
        <f t="shared" si="12"/>
        <v>#N/A</v>
      </c>
      <c r="L57" s="7" t="str">
        <f t="shared" si="19"/>
        <v>#N/A</v>
      </c>
      <c r="M57" s="7" t="str">
        <f t="shared" si="28"/>
        <v>#N/A</v>
      </c>
      <c r="N57" s="7" t="str">
        <f t="shared" si="41"/>
        <v>#N/A</v>
      </c>
      <c r="O57" s="7" t="str">
        <f t="shared" si="51"/>
        <v>#N/A</v>
      </c>
      <c r="P57" s="7" t="str">
        <f t="shared" si="55"/>
        <v>#N/A</v>
      </c>
      <c r="Q57" s="3">
        <f t="shared" si="56"/>
        <v>22</v>
      </c>
    </row>
    <row r="58" ht="15.75" customHeight="1">
      <c r="B58" s="9">
        <v>45983.0</v>
      </c>
      <c r="K58" s="7" t="str">
        <f t="shared" si="12"/>
        <v>#N/A</v>
      </c>
      <c r="L58" s="7" t="str">
        <f t="shared" si="19"/>
        <v>#N/A</v>
      </c>
      <c r="M58" s="7" t="str">
        <f t="shared" si="28"/>
        <v>#N/A</v>
      </c>
      <c r="N58" s="7" t="str">
        <f t="shared" si="41"/>
        <v>#N/A</v>
      </c>
      <c r="O58" s="7" t="str">
        <f t="shared" si="51"/>
        <v>#N/A</v>
      </c>
      <c r="P58" s="7" t="str">
        <f t="shared" si="55"/>
        <v>#N/A</v>
      </c>
      <c r="Q58" s="3">
        <f t="shared" si="56"/>
        <v>25</v>
      </c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