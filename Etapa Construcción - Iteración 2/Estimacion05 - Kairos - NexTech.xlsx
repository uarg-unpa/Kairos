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04" sheetId="1" r:id="rId4"/>
    <sheet state="visible" name="Estimacion04 (Optimista)" sheetId="2" r:id="rId5"/>
    <sheet state="visible" name="Estimacion04 (Pesimista)" sheetId="3" r:id="rId6"/>
  </sheets>
  <definedNames>
    <definedName localSheetId="0" name="solver_eng">1</definedName>
    <definedName localSheetId="1" name="solver_eng">1</definedName>
    <definedName localSheetId="2" name="solver_eng">1</definedName>
    <definedName localSheetId="0" name="solver_neg">1</definedName>
    <definedName localSheetId="1" name="solver_neg">1</definedName>
    <definedName localSheetId="2" name="solver_neg">1</definedName>
    <definedName localSheetId="0" name="solver_num">0</definedName>
    <definedName localSheetId="1" name="solver_num">0</definedName>
    <definedName localSheetId="2" name="solver_num">0</definedName>
    <definedName localSheetId="0" name="solver_typ">1</definedName>
    <definedName localSheetId="1" name="solver_typ">1</definedName>
    <definedName localSheetId="2" name="solver_typ">1</definedName>
    <definedName localSheetId="0" name="solver_val">0</definedName>
    <definedName localSheetId="1" name="solver_val">0</definedName>
    <definedName localSheetId="2" name="solver_val">0</definedName>
    <definedName localSheetId="0" name="solver_ver">3</definedName>
    <definedName localSheetId="1" name="solver_ver">3</definedName>
    <definedName localSheetId="2" name="solver_ver">3</definedName>
    <definedName localSheetId="1" name="solver_opt">'Estimacion04 (Optimista)'!$D$68</definedName>
    <definedName localSheetId="0" name="solver_opt">Estimacion04!$D$71</definedName>
    <definedName localSheetId="2" name="solver_opt">'Estimacion04 (Pesimista)'!$D$68</definedName>
  </definedNames>
  <calcPr/>
  <extLst>
    <ext uri="GoogleSheetsCustomDataVersion2">
      <go:sheetsCustomData xmlns:go="http://customooxmlschemas.google.com/" r:id="rId7" roundtripDataChecksum="W0tbktzyZIJ8a2uJ8pbimcMblYxjtX9VQR2CTA8z0B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9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5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48">
      <text>
        <t xml:space="preserve">======
ID#AAAA4EXGEYs
Autor    (2023-08-29 20:18:46)
¿Se requiere formación específica para los Usuarios?</t>
      </text>
    </comment>
    <comment authorId="0" ref="B43">
      <text>
        <t xml:space="preserve">======
ID#AAAA4EXGEYw
Autor    (2023-08-29 20:18:46)
¿La aplicación, debe funcionar en más de una plataforma?</t>
      </text>
    </comment>
    <comment authorId="0" ref="B37">
      <text>
        <t xml:space="preserve">======
ID#AAAA4EXGEYo
Autor    (2023-08-29 20:18:46)
¿Cuál es la importancia del tiempo de respuesta de la aplicación para el usuario final?</t>
      </text>
    </comment>
    <comment authorId="0" ref="B80">
      <text>
        <t xml:space="preserve">======
ID#AAAA4EXGEYk
Autor    (2023-08-29 20:18:46)
Análisis/Diseño/Pruebas/Sobrecarga</t>
      </text>
    </comment>
    <comment authorId="0" ref="B44">
      <text>
        <t xml:space="preserve">======
ID#AAAA4EXGEYg
Autor    (2023-08-29 20:18:46)
¿El cliente requiere que la aplicación se pueda cambiar fácilmente en el futuro?</t>
      </text>
    </comment>
    <comment authorId="0" ref="B61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2">
      <text>
        <t xml:space="preserve">======
ID#AAAA4EXGEYY
Autor    (2023-08-29 20:18:46)
¿Hay requerimientos especiales respecto de la facilidad de uso?</t>
      </text>
    </comment>
    <comment authorId="0" ref="B54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40">
      <text>
        <t xml:space="preserve">======
ID#AAAA4EXGEYQ
Autor    (2023-08-29 20:18:46)
¿La aplicación requiere diseñarse para ser altamente reusable?</t>
      </text>
    </comment>
    <comment authorId="0" ref="B60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77">
      <text>
        <t xml:space="preserve">======
ID#AAAA4EXGEYE
Autor    (2023-08-29 20:18:46)
Esta distribución es una referencia. Proyecto a proyecto debe actualizarse mediante  ESTADISTICAS.</t>
      </text>
    </comment>
    <comment authorId="0" ref="G71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5">
      <text>
        <t xml:space="preserve">======
ID#AAAA4EXGEX8
Autor    (2023-08-29 20:18:46)
¿Ya trabajado el equipo en el area (dominio) de la aplicación?</t>
      </text>
    </comment>
    <comment authorId="0" ref="B38">
      <text>
        <t xml:space="preserve">======
ID#AAAA4EXGEX4
Autor    (2023-08-29 20:18:46)
¿La aplicacion está diseñada para que el usuario incremente SU eficiencia (no solo cumpla su cometido)?</t>
      </text>
    </comment>
    <comment authorId="0" ref="B56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9">
      <text>
        <t xml:space="preserve">======
ID#AAAA4EXGEX0
Autor    (2023-08-29 20:18:46)
Lo debe sugerir el estimador.</t>
      </text>
    </comment>
    <comment authorId="0" ref="B46">
      <text>
        <t xml:space="preserve">======
ID#AAAA4EXGEXs
Autor    (2023-08-29 20:18:46)
¿Es suficiente con las prestaciones de seguridad normales, o hace falta algo especial?</t>
      </text>
    </comment>
    <comment authorId="0" ref="B58">
      <text>
        <t xml:space="preserve">======
ID#AAAA4EXGEXo
Autor    (2023-08-29 20:18:46)
Motivación del equipo.</t>
      </text>
    </comment>
    <comment authorId="0" ref="B47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36">
      <text>
        <t xml:space="preserve">======
ID#AAAA4EXGEXg
Autor    (2023-08-29 20:18:46)
¿Arquitectura centralizada o distribuida?</t>
      </text>
    </comment>
    <comment authorId="0" ref="B45">
      <text>
        <t xml:space="preserve">======
ID#AAAA4EXGEXc
Autor    (2023-08-29 20:18:46)
¿Hace falta consideraciones especiales para el acceso concurrente (paralelo) a datos y otros recursos?</t>
      </text>
    </comment>
    <comment authorId="0" ref="B57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1">
      <text>
        <t xml:space="preserve">======
ID#AAAA4EXGEXU
Autor    (2023-08-29 20:18:46)
¿La aplicación debe ser de fácil instalación (para usuarios sin capacidad técnica) o no?</t>
      </text>
    </comment>
    <comment authorId="0" ref="B39">
      <text>
        <t xml:space="preserve">======
ID#AAAA4EXGEXQ
Autor    (2023-08-29 20:18:46)
¿La aplicación requiere de algoritmos complejos?</t>
      </text>
    </comment>
    <comment authorId="0" ref="B86">
      <text>
        <t xml:space="preserve">======
ID#AAABtQuPeUs
Autor    (2023-08-29 20:18:46)
Análisis/Diseño/Pruebas/Sobrecarga</t>
      </text>
    </comment>
    <comment authorId="0" ref="B83">
      <text>
        <t xml:space="preserve">======
ID#AAABtQuPeXQ
Autor    (2023-08-29 20:18:46)
Esta distribución es una referencia. Proyecto a proyecto debe actualizarse mediante  ESTADISTICAS.</t>
      </text>
    </comment>
  </commentList>
  <extLst>
    <ext uri="GoogleSheetsCustomDataVersion2">
      <go:sheetsCustomData xmlns:go="http://customooxmlschemas.google.com/" r:id="rId1" roundtripDataSignature="AMtx7mj7esAzD/Q3G9tNzQb18su5seJeF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4">
      <text>
        <t xml:space="preserve">======
ID#AAABtQuPeV0
Autor    (2023-08-29 20:18:46)
Esta distribución es una referencia. Proyecto a proyecto debe actualizarse mediante  ESTADISTICAS.</t>
      </text>
    </comment>
    <comment authorId="0" ref="B55">
      <text>
        <t xml:space="preserve">======
ID#AAABtQuPeXo
Autor    (2023-08-29 20:18:46)
Motivación del equipo.</t>
      </text>
    </comment>
    <comment authorId="0" ref="B40">
      <text>
        <t xml:space="preserve">======
ID#AAABtQuPeXw
Autor    (2023-08-29 20:18:46)
¿La aplicación, debe funcionar en más de una plataforma?</t>
      </text>
    </comment>
    <comment authorId="0" ref="B51">
      <text>
        <t xml:space="preserve">======
ID#AAABtQuPeUY
Autor    (2023-08-29 20:18:46)
Debe reflejar el hecho de que el equipo conoce el proceso y el lenguaje de modelado (p.ej.: RUP, UML). Puede ser cualquier otro proceso.</t>
      </text>
    </comment>
    <comment authorId="0" ref="B39">
      <text>
        <t xml:space="preserve">======
ID#AAABtQuPeVI
Autor    (2023-08-29 20:18:46)
¿Hay requerimientos especiales respecto de la facilidad de uso?</t>
      </text>
    </comment>
    <comment authorId="0" ref="B45">
      <text>
        <t xml:space="preserve">======
ID#AAABtQuPeVE
Autor    (2023-08-29 20:18:46)
¿Se requiere formación específica para los Usuarios?</t>
      </text>
    </comment>
    <comment authorId="0" ref="B58">
      <text>
        <t xml:space="preserve">======
ID#AAABtQuPeVQ
Autor    (2023-08-29 20:18:46)
Este es un factor con signo opuesto a los factores E6 y anteriores. Cuanto mayor la evaluación, peor el resultado.</t>
      </text>
    </comment>
    <comment authorId="0" ref="B53">
      <text>
        <t xml:space="preserve">======
ID#AAABtQuPeW0
Autor    (2023-08-29 20:18:46)
Se refiere exclusivamente a la experiencia en el análisis, modelado, diseño y progrmación  mediante el paradigma de OO.</t>
      </text>
    </comment>
    <comment authorId="0" ref="B52">
      <text>
        <t xml:space="preserve">======
ID#AAABtQuPeVY
Autor    (2023-08-29 20:18:46)
¿Ya trabajado el equipo en el area (dominio) de la aplicación?</t>
      </text>
    </comment>
    <comment authorId="0" ref="B43">
      <text>
        <t xml:space="preserve">======
ID#AAABtQuPeVc
Autor    (2023-08-29 20:18:46)
¿Es suficiente con las prestaciones de seguridad normales, o hace falta algo especial?</t>
      </text>
    </comment>
    <comment authorId="0" ref="B57">
      <text>
        <t xml:space="preserve">======
ID#AAABtQuPeWQ
Autor    (2023-08-29 20:18:46)
Este es un factor con signo opuesto a los factores E6 y anteriores. Cuanto mayor la evaluación, peor el resultado.</t>
      </text>
    </comment>
    <comment authorId="0" ref="B33">
      <text>
        <t xml:space="preserve">======
ID#AAABtQuPeX0
Autor    (2023-08-29 20:18:46)
¿Arquitectura centralizada o distribuida?</t>
      </text>
    </comment>
    <comment authorId="0" ref="B56">
      <text>
        <t xml:space="preserve">======
ID#AAABtQuPeVo
Autor    (2023-08-29 20:18:46)
Evalúa si los analistas han sido capaces de mantener estables los requerimientos en el pasado, minimizando los cambios del software.</t>
      </text>
    </comment>
    <comment authorId="0" ref="B37">
      <text>
        <t xml:space="preserve">======
ID#AAABtQuPeWM
Autor    (2023-08-29 20:18:46)
¿La aplicación requiere diseñarse para ser altamente reusable?</t>
      </text>
    </comment>
    <comment authorId="0" ref="B80">
      <text>
        <t xml:space="preserve">======
ID#AAABtQuPeVk
Autor    (2023-08-29 20:18:46)
Esta distribución es una referencia. Proyecto a proyecto debe actualizarse mediante  ESTADISTICAS.</t>
      </text>
    </comment>
    <comment authorId="0" ref="B86">
      <text>
        <t xml:space="preserve">======
ID#AAABtQuPeWY
Autor    (2023-08-29 20:18:46)
Lo debe sugerir el estimador.</t>
      </text>
    </comment>
    <comment authorId="0" ref="B83">
      <text>
        <t xml:space="preserve">======
ID#AAABtQuPeWU
Autor    (2023-08-29 20:18:46)
Análisis/Diseño/Pruebas/Sobrecarga</t>
      </text>
    </comment>
    <comment authorId="0" ref="B42">
      <text>
        <t xml:space="preserve">======
ID#AAABtQuPeX4
Autor    (2023-08-29 20:18:46)
¿Hace falta consideraciones especiales para el acceso concurrente (paralelo) a datos y otros recursos?</t>
      </text>
    </comment>
    <comment authorId="0" ref="B77">
      <text>
        <t xml:space="preserve">======
ID#AAABtQuPeVs
Autor    (2023-08-29 20:18:46)
Análisis/Diseño/Pruebas/Sobrecarga</t>
      </text>
    </comment>
    <comment authorId="0" ref="B34">
      <text>
        <t xml:space="preserve">======
ID#AAABtQuPeWg
Autor    (2023-08-29 20:18:46)
¿Cuál es la importancia del tiempo de respuesta de la aplicación para el usuario final?</t>
      </text>
    </comment>
    <comment authorId="0" ref="G68">
      <text>
        <t xml:space="preserve">======
ID#AAABtQuPeXI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15">
      <text>
        <t xml:space="preserve">======
ID#AAABtQuPeWc
Ejemplo    (2023-08-29 20:18:46)
contar transacciones
Flujo.Ppal.: transacciones 1, 2, 3, 4. 
Flujo Alt.: 0 transaccioines. 
Excepciones.: N/A -&gt; 0 transacciones
-&gt; suma = 4 transacciones</t>
      </text>
    </comment>
    <comment authorId="0" ref="B54">
      <text>
        <t xml:space="preserve">======
ID#AAABtQuPeU0
Autor    (2023-08-29 20:18:46)
Se refiere a la experiencia en el análisis de requerimientos y modelado orientado a objetos del Analista Principal.</t>
      </text>
    </comment>
    <comment authorId="0" ref="C7">
      <text>
        <t xml:space="preserve">======
ID#AAABtQuPeWk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5">
      <text>
        <t xml:space="preserve">======
ID#AAABtQuPeU4
Autor    (2023-08-29 20:18:46)
¿La aplicacion está diseñada para que el usuario incremente SU eficiencia (no solo cumpla su cometido)?</t>
      </text>
    </comment>
    <comment authorId="0" ref="B38">
      <text>
        <t xml:space="preserve">======
ID#AAABtQuPeWs
Autor    (2023-08-29 20:18:46)
¿La aplicación debe ser de fácil instalación (para usuarios sin capacidad técnica) o no?</t>
      </text>
    </comment>
    <comment authorId="0" ref="B44">
      <text>
        <t xml:space="preserve">======
ID#AAABtQuPeXU
Autor    (2023-08-29 20:18:46)
¿Nuestro código usará componentes COTS, librerías frameworks ya desarrollados? Si así fuera, reducirá la carga de trabajo de desarrollo.</t>
      </text>
    </comment>
    <comment authorId="0" ref="B41">
      <text>
        <t xml:space="preserve">======
ID#AAABtQuPeXk
Autor    (2023-08-29 20:18:46)
¿El cliente requiere que la aplicación se pueda cambiar fácilmente en el futuro?</t>
      </text>
    </comment>
    <comment authorId="0" ref="B36">
      <text>
        <t xml:space="preserve">======
ID#AAABtQuPeYE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jMLK+Z7O8NhJqdRgWYAaZvVZPxg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7">
      <text>
        <t xml:space="preserve">======
ID#AAABtQuPeXs
Autor    (2023-08-29 20:18:46)
¿La aplicación requiere diseñarse para ser altamente reusable?</t>
      </text>
    </comment>
    <comment authorId="0" ref="G68">
      <text>
        <t xml:space="preserve">======
ID#AAABtQuPeV8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7">
      <text>
        <t xml:space="preserve">======
ID#AAABtQuPeV4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6">
      <text>
        <t xml:space="preserve">======
ID#AAABtQuPeVA
Autor    (2023-08-29 20:18:46)
¿La aplicación requiere de algoritmos complejos?</t>
      </text>
    </comment>
    <comment authorId="0" ref="B54">
      <text>
        <t xml:space="preserve">======
ID#AAABtQuPeUg
Autor    (2023-08-29 20:18:46)
Se refiere a la experiencia en el análisis de requerimientos y modelado orientado a objetos del Analista Principal.</t>
      </text>
    </comment>
    <comment authorId="0" ref="B34">
      <text>
        <t xml:space="preserve">======
ID#AAABtQuPeUc
Autor    (2023-08-29 20:18:46)
¿Cuál es la importancia del tiempo de respuesta de la aplicación para el usuario final?</t>
      </text>
    </comment>
    <comment authorId="0" ref="B57">
      <text>
        <t xml:space="preserve">======
ID#AAABtQuPeUo
Autor    (2023-08-29 20:18:46)
Este es un factor con signo opuesto a los factores E6 y anteriores. Cuanto mayor la evaluación, peor el resultado.</t>
      </text>
    </comment>
    <comment authorId="0" ref="B41">
      <text>
        <t xml:space="preserve">======
ID#AAABtQuPeUk
Autor    (2023-08-29 20:18:46)
¿El cliente requiere que la aplicación se pueda cambiar fácilmente en el futuro?</t>
      </text>
    </comment>
    <comment authorId="0" ref="B52">
      <text>
        <t xml:space="preserve">======
ID#AAABtQuPeVM
Autor    (2023-08-29 20:18:46)
¿Ya trabajado el equipo en el area (dominio) de la aplicación?</t>
      </text>
    </comment>
    <comment authorId="0" ref="B44">
      <text>
        <t xml:space="preserve">======
ID#AAABtQuPeUw
Autor    (2023-08-29 20:18:46)
¿Nuestro código usará componentes COTS, librerías frameworks ya desarrollados? Si así fuera, reducirá la carga de trabajo de desarrollo.</t>
      </text>
    </comment>
    <comment authorId="0" ref="C15">
      <text>
        <t xml:space="preserve">======
ID#AAABtQuPeW8
Ejemplo    (2023-08-29 20:18:46)
contar transacciones
Flujo.Ppal.: transacciones 1, 2, 3, 4. 
Flujo Alt.: 0 transaccioines. 
Excepciones.: N/A -&gt; 0 transacciones
-&gt; suma = 4 transacciones</t>
      </text>
    </comment>
    <comment authorId="0" ref="B74">
      <text>
        <t xml:space="preserve">======
ID#AAABtQuPeVU
Autor    (2023-08-29 20:18:46)
Esta distribución es una referencia. Proyecto a proyecto debe actualizarse mediante  ESTADISTICAS.</t>
      </text>
    </comment>
    <comment authorId="0" ref="B55">
      <text>
        <t xml:space="preserve">======
ID#AAABtQuPeW4
Autor    (2023-08-29 20:18:46)
Motivación del equipo.</t>
      </text>
    </comment>
    <comment authorId="0" ref="B53">
      <text>
        <t xml:space="preserve">======
ID#AAABtQuPeWA
Autor    (2023-08-29 20:18:46)
Se refiere exclusivamente a la experiencia en el análisis, modelado, diseño y progrmación  mediante el paradigma de OO.</t>
      </text>
    </comment>
    <comment authorId="0" ref="B56">
      <text>
        <t xml:space="preserve">======
ID#AAABtQuPeWI
Autor    (2023-08-29 20:18:46)
Evalúa si los analistas han sido capaces de mantener estables los requerimientos en el pasado, minimizando los cambios del software.</t>
      </text>
    </comment>
    <comment authorId="0" ref="B77">
      <text>
        <t xml:space="preserve">======
ID#AAABtQuPeVg
Autor    (2023-08-29 20:18:46)
Análisis/Diseño/Pruebas/Sobrecarga</t>
      </text>
    </comment>
    <comment authorId="0" ref="B80">
      <text>
        <t xml:space="preserve">======
ID#AAABtQuPeWE
Autor    (2023-08-29 20:18:46)
Esta distribución es una referencia. Proyecto a proyecto debe actualizarse mediante  ESTADISTICAS.</t>
      </text>
    </comment>
    <comment authorId="0" ref="B39">
      <text>
        <t xml:space="preserve">======
ID#AAABtQuPeX8
Autor    (2023-08-29 20:18:46)
¿Hay requerimientos especiales respecto de la facilidad de uso?</t>
      </text>
    </comment>
    <comment authorId="0" ref="B45">
      <text>
        <t xml:space="preserve">======
ID#AAABtQuPeVw
Autor    (2023-08-29 20:18:46)
¿Se requiere formación específica para los Usuarios?</t>
      </text>
    </comment>
    <comment authorId="0" ref="B38">
      <text>
        <t xml:space="preserve">======
ID#AAABtQuPeXA
Autor    (2023-08-29 20:18:46)
¿La aplicación debe ser de fácil instalación (para usuarios sin capacidad técnica) o no?</t>
      </text>
    </comment>
    <comment authorId="0" ref="B86">
      <text>
        <t xml:space="preserve">======
ID#AAABtQuPeXE
Autor    (2023-08-29 20:18:46)
Lo debe sugerir el estimador.</t>
      </text>
    </comment>
    <comment authorId="0" ref="B58">
      <text>
        <t xml:space="preserve">======
ID#AAABtQuPeWo
Autor    (2023-08-29 20:18:46)
Este es un factor con signo opuesto a los factores E6 y anteriores. Cuanto mayor la evaluación, peor el resultado.</t>
      </text>
    </comment>
    <comment authorId="0" ref="B33">
      <text>
        <t xml:space="preserve">======
ID#AAABtQuPeXM
Autor    (2023-08-29 20:18:46)
¿Arquitectura centralizada o distribuida?</t>
      </text>
    </comment>
    <comment authorId="0" ref="B35">
      <text>
        <t xml:space="preserve">======
ID#AAABtQuPeU8
Autor    (2023-08-29 20:18:46)
¿La aplicacion está diseñada para que el usuario incremente SU eficiencia (no solo cumpla su cometido)?</t>
      </text>
    </comment>
    <comment authorId="0" ref="B40">
      <text>
        <t xml:space="preserve">======
ID#AAABtQuPeWw
Autor    (2023-08-29 20:18:46)
¿La aplicación, debe funcionar en más de una plataforma?</t>
      </text>
    </comment>
    <comment authorId="0" ref="B83">
      <text>
        <t xml:space="preserve">======
ID#AAABtQuPeXY
Autor    (2023-08-29 20:18:46)
Análisis/Diseño/Pruebas/Sobrecarga</t>
      </text>
    </comment>
    <comment authorId="0" ref="B51">
      <text>
        <t xml:space="preserve">======
ID#AAABtQuPeXc
Autor    (2023-08-29 20:18:46)
Debe reflejar el hecho de que el equipo conoce el proceso y el lenguaje de modelado (p.ej.: RUP, UML). Puede ser cualquier otro proceso.</t>
      </text>
    </comment>
    <comment authorId="0" ref="B42">
      <text>
        <t xml:space="preserve">======
ID#AAABtQuPeYA
Autor    (2023-08-29 20:18:46)
¿Hace falta consideraciones especiales para el acceso concurrente (paralelo) a datos y otros recursos?</t>
      </text>
    </comment>
    <comment authorId="0" ref="B43">
      <text>
        <t xml:space="preserve">======
ID#AAABtQuPeXg
Autor    (2023-08-29 20:18:46)
¿Es suficiente con las prestaciones de seguridad normales, o hace falta algo especial?</t>
      </text>
    </comment>
  </commentList>
  <extLst>
    <ext uri="GoogleSheetsCustomDataVersion2">
      <go:sheetsCustomData xmlns:go="http://customooxmlschemas.google.com/" r:id="rId1" roundtripDataSignature="AMtx7miP6ZFFP+6EJN+XdSnHKRXWOUv9Rw=="/>
    </ext>
  </extLst>
</comments>
</file>

<file path=xl/sharedStrings.xml><?xml version="1.0" encoding="utf-8"?>
<sst xmlns="http://schemas.openxmlformats.org/spreadsheetml/2006/main" count="527" uniqueCount="165">
  <si>
    <t>ESTIMACIÓN por PUNTOS de CASO de USO</t>
  </si>
  <si>
    <t>Proyecto:</t>
  </si>
  <si>
    <t>Kairos</t>
  </si>
  <si>
    <t>Gestor de Proyecto:</t>
  </si>
  <si>
    <t>Valeria Centurion, Gillermo Escalante, Florencia Mendez, Agustina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</si>
  <si>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</si>
  <si>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</si>
  <si>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</si>
  <si>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</si>
  <si>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</si>
  <si>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</si>
  <si>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</si>
  <si>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</si>
  <si>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</si>
  <si>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</si>
  <si>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</si>
  <si>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</si>
  <si>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</si>
  <si>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</si>
  <si>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</si>
  <si>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</si>
  <si>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</si>
  <si>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</si>
  <si>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</si>
  <si>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</si>
  <si>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CU07: Crear etapa</t>
  </si>
  <si>
    <t>Simple</t>
  </si>
  <si>
    <t>CU23: Registrar usuario a proyecto</t>
  </si>
  <si>
    <t>Intermedio</t>
  </si>
  <si>
    <t>CU##: Gestionar proyectos</t>
  </si>
  <si>
    <t>CU08: Crear iteración</t>
  </si>
  <si>
    <t>CU##: Gestionar tareas</t>
  </si>
  <si>
    <t>CU21: Registrar tiempo manual</t>
  </si>
  <si>
    <t>CU03: Asignar rol</t>
  </si>
  <si>
    <t>CU04: Modificar perfil</t>
  </si>
  <si>
    <t>CU23: Ver reporte</t>
  </si>
  <si>
    <t>CU02: Exportar información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</si>
  <si>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</si>
  <si>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</si>
  <si>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</si>
  <si>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</si>
  <si>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</si>
  <si>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</si>
  <si>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</si>
  <si>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</si>
  <si>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</si>
  <si>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</si>
  <si>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</si>
  <si>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</si>
  <si>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Para nuestro sistema no es importante</t>
  </si>
  <si>
    <t>Object-Oriented Analysis and Design for Information Systems: Modeling with UML, OCL, and IFML</t>
  </si>
  <si>
    <t>T2  Objetivos de Desempeño o Tiempo de Respuesta</t>
  </si>
  <si>
    <t>Si es importante para el funcionamiento del sistema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</si>
  <si>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</si>
  <si>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</si>
  <si>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</si>
  <si>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</si>
  <si>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</si>
  <si>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</si>
  <si>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</si>
  <si>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</si>
  <si>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</si>
  <si>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</si>
  <si>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</si>
  <si>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</si>
  <si>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volátiles</t>
  </si>
  <si>
    <t>T10 Concurrencia</t>
  </si>
  <si>
    <t>Es multitarea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</si>
  <si>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</si>
  <si>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</si>
  <si>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</si>
  <si>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</si>
  <si>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</si>
  <si>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</si>
  <si>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</si>
  <si>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</si>
  <si>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</si>
  <si>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</si>
  <si>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</si>
  <si>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</si>
  <si>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</si>
  <si>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</si>
  <si>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</si>
  <si>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El equipo tiene conocimientos basicos, logicos en este tipos de proyectos</t>
  </si>
  <si>
    <t>1.5</t>
  </si>
  <si>
    <t>4.5</t>
  </si>
  <si>
    <t>E2 Experiencia en el Dominio de Aplicación</t>
  </si>
  <si>
    <t>El equipo de desarrollo está investigando y avanzando en el dominio de aplicación</t>
  </si>
  <si>
    <t>0.5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</si>
  <si>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</si>
  <si>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</si>
  <si>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</si>
  <si>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</si>
  <si>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</si>
  <si>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</si>
  <si>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</si>
  <si>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</si>
  <si>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</si>
  <si>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</si>
  <si>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</si>
  <si>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</si>
  <si>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</si>
  <si>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</si>
  <si>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</si>
  <si>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</si>
  <si>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</si>
  <si>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</si>
  <si>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</si>
  <si>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</si>
  <si>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</si>
  <si>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</si>
  <si>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</si>
  <si>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</si>
  <si>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</si>
  <si>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</si>
  <si>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</si>
  <si>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</si>
  <si>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</si>
  <si>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</si>
  <si>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8a. ESFUERZO TOTAL</t>
  </si>
  <si>
    <t>Distribución Esfuerzo por Tarea (expresado en h-h)</t>
  </si>
  <si>
    <t>Actividad</t>
  </si>
  <si>
    <t>Porcentaje</t>
  </si>
  <si>
    <t>Karner
(h-h)</t>
  </si>
  <si>
    <t>Sch&amp;Win
(h-h)</t>
  </si>
  <si>
    <t>Propia
(h-h)</t>
  </si>
  <si>
    <t>Codificación</t>
  </si>
  <si>
    <t>Actividades restantes</t>
  </si>
  <si>
    <t>8b. ESFUERZO TOTAL</t>
  </si>
  <si>
    <t>Distribución Esfuerzo por Tarea (expresado en m-h)</t>
  </si>
  <si>
    <t>Karner
(m-h)</t>
  </si>
  <si>
    <t>Sch&amp;Win
(m-h)</t>
  </si>
  <si>
    <t>Propia
(m-h)</t>
  </si>
  <si>
    <t>9. NUMERO PERSONAS</t>
  </si>
  <si>
    <t>10. DURACION PROYECTO</t>
  </si>
  <si>
    <t>Karner
(m)</t>
  </si>
  <si>
    <t>Sch&amp;Win
(m)</t>
  </si>
  <si>
    <t>Propia
(m)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</si>
  <si>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</si>
  <si>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2.5</t>
  </si>
  <si>
    <t>Las funcionalidades son estaticas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</si>
  <si>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</si>
  <si>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</si>
  <si>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se considera experto en el proceso definido</t>
  </si>
  <si>
    <t>El equipo de desarrollo tiene una experiencia alta en cuanto al Dominio de Aplicación</t>
  </si>
  <si>
    <t>El equipo cuenta con la experiencia en POO elevada</t>
  </si>
  <si>
    <t>El equipo tiene un alto analisis de requerimientos y modelado OO</t>
  </si>
  <si>
    <t>El equipo tiene una motivación alta</t>
  </si>
  <si>
    <t>Los requerimientos son estables</t>
  </si>
  <si>
    <t>Todos los miembros tienen meses de experiencia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</si>
  <si>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</si>
  <si>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</si>
  <si>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MiProyecto</t>
  </si>
  <si>
    <t>MiNombre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</si>
  <si>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</si>
  <si>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</si>
  <si>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</si>
  <si>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cuenta con la experiencia minima</t>
  </si>
  <si>
    <t>El equipo cuenta con la experiencia media</t>
  </si>
  <si>
    <t>El equipo está desmotivado</t>
  </si>
  <si>
    <t>Los requerimientos son algo inestables</t>
  </si>
  <si>
    <t>Los miembros tienen un 40% de tiempo parcial.</t>
  </si>
  <si>
    <t>Ningún miembro cuenta con la experiencia suficiente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</si>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</sst>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6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  <font>
      <u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2" fillId="4" fontId="9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1" fillId="3" fontId="8" numFmtId="0" xfId="0" applyAlignment="1" applyBorder="1" applyFont="1">
      <alignment shrinkToFit="0" wrapText="1"/>
    </xf>
    <xf borderId="12" fillId="3" fontId="7" numFmtId="0" xfId="0" applyAlignment="1" applyBorder="1" applyFont="1">
      <alignment shrinkToFit="0" wrapText="1"/>
    </xf>
    <xf borderId="12" fillId="3" fontId="8" numFmtId="0" xfId="0" applyAlignment="1" applyBorder="1" applyFont="1">
      <alignment horizontal="center" shrinkToFit="0" wrapText="1"/>
    </xf>
    <xf borderId="12" fillId="4" fontId="9" numFmtId="0" xfId="0" applyAlignment="1" applyBorder="1" applyFont="1">
      <alignment horizontal="center" shrinkToFit="0" wrapText="1"/>
    </xf>
    <xf borderId="13" fillId="3" fontId="8" numFmtId="0" xfId="0" applyAlignment="1" applyBorder="1" applyFont="1">
      <alignment shrinkToFit="0" wrapText="1"/>
    </xf>
    <xf borderId="9" fillId="3" fontId="7" numFmtId="0" xfId="0" applyAlignment="1" applyBorder="1" applyFont="1">
      <alignment shrinkToFit="0" wrapText="1"/>
    </xf>
    <xf borderId="9" fillId="3" fontId="8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3" fontId="8" numFmtId="0" xfId="0" applyAlignment="1" applyBorder="1" applyFont="1">
      <alignment horizontal="center" readingOrder="0" shrinkToFit="0" wrapText="1"/>
    </xf>
    <xf borderId="9" fillId="3" fontId="7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49" xfId="0" applyAlignment="1" applyBorder="1" applyFont="1" applyNumberForma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0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9" fillId="4" fontId="6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ill="1" applyFont="1">
      <alignment shrinkToFit="0" vertical="center" wrapText="1"/>
    </xf>
    <xf borderId="10" fillId="2" fontId="1" numFmtId="164" xfId="0" applyAlignment="1" applyBorder="1" applyFont="1" applyNumberFormat="1">
      <alignment horizontal="center" vertical="center"/>
    </xf>
    <xf borderId="10" fillId="2" fontId="1" numFmtId="2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0" fillId="2" fontId="4" numFmtId="164" xfId="0" applyAlignment="1" applyBorder="1" applyFont="1" applyNumberFormat="1">
      <alignment horizontal="center" vertical="center"/>
    </xf>
    <xf borderId="10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0" fillId="3" fontId="14" numFmtId="9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20" fillId="0" fontId="4" numFmtId="0" xfId="0" applyAlignment="1" applyBorder="1" applyFont="1">
      <alignment horizontal="left" vertical="center"/>
    </xf>
    <xf borderId="21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vertical="center"/>
    </xf>
    <xf borderId="16" fillId="0" fontId="1" numFmtId="0" xfId="0" applyAlignment="1" applyBorder="1" applyFont="1">
      <alignment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3.0</v>
      </c>
      <c r="E16" s="42" t="s">
        <v>26</v>
      </c>
      <c r="F16" s="42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4"/>
      <c r="D17" s="45">
        <v>6.0</v>
      </c>
      <c r="E17" s="46" t="s">
        <v>28</v>
      </c>
      <c r="F17" s="46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29</v>
      </c>
      <c r="C18" s="44"/>
      <c r="D18" s="45">
        <v>8.0</v>
      </c>
      <c r="E18" s="46" t="s">
        <v>13</v>
      </c>
      <c r="F18" s="46">
        <v>15.0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 t="s">
        <v>30</v>
      </c>
      <c r="C19" s="44"/>
      <c r="D19" s="45">
        <v>3.0</v>
      </c>
      <c r="E19" s="46" t="s">
        <v>26</v>
      </c>
      <c r="F19" s="46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 t="s">
        <v>31</v>
      </c>
      <c r="C20" s="44"/>
      <c r="D20" s="47">
        <v>7.0</v>
      </c>
      <c r="E20" s="46" t="s">
        <v>13</v>
      </c>
      <c r="F20" s="46">
        <v>15.0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32</v>
      </c>
      <c r="C21" s="44"/>
      <c r="D21" s="45">
        <v>4.0</v>
      </c>
      <c r="E21" s="46" t="s">
        <v>28</v>
      </c>
      <c r="F21" s="46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33</v>
      </c>
      <c r="C22" s="44"/>
      <c r="D22" s="45">
        <v>3.0</v>
      </c>
      <c r="E22" s="46" t="s">
        <v>26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34</v>
      </c>
      <c r="C23" s="44"/>
      <c r="D23" s="45">
        <v>3.0</v>
      </c>
      <c r="E23" s="46" t="s">
        <v>26</v>
      </c>
      <c r="F23" s="46">
        <v>5.0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35</v>
      </c>
      <c r="C24" s="44"/>
      <c r="D24" s="45">
        <v>4.0</v>
      </c>
      <c r="E24" s="46" t="s">
        <v>28</v>
      </c>
      <c r="F24" s="46">
        <v>10.0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 t="s">
        <v>36</v>
      </c>
      <c r="C25" s="44"/>
      <c r="D25" s="45">
        <v>3.0</v>
      </c>
      <c r="E25" s="46" t="s">
        <v>26</v>
      </c>
      <c r="F25" s="46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8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8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8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49"/>
      <c r="C29" s="50" t="s">
        <v>37</v>
      </c>
      <c r="D29" s="51"/>
      <c r="E29" s="52"/>
      <c r="F29" s="53">
        <f>SUM(F16:F28)</f>
        <v>85</v>
      </c>
      <c r="G29" s="1"/>
      <c r="H29" s="20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38</v>
      </c>
      <c r="B32" s="54"/>
      <c r="C32" s="32" t="s">
        <v>39</v>
      </c>
      <c r="D32" s="6"/>
      <c r="E32" s="7"/>
      <c r="F32" s="33">
        <f>G12+F29</f>
        <v>88</v>
      </c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40</v>
      </c>
      <c r="B35" s="22" t="s">
        <v>41</v>
      </c>
      <c r="C35" s="22" t="s">
        <v>42</v>
      </c>
      <c r="D35" s="21" t="s">
        <v>43</v>
      </c>
      <c r="E35" s="21" t="s">
        <v>9</v>
      </c>
      <c r="F35" s="21" t="s">
        <v>44</v>
      </c>
      <c r="G35" s="21" t="s">
        <v>45</v>
      </c>
      <c r="H35" s="1" t="s">
        <v>46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75" customHeight="1">
      <c r="A36" s="1"/>
      <c r="B36" s="55" t="s">
        <v>47</v>
      </c>
      <c r="C36" s="55" t="s">
        <v>48</v>
      </c>
      <c r="D36" s="23" t="s">
        <v>49</v>
      </c>
      <c r="E36" s="56">
        <v>2.0</v>
      </c>
      <c r="F36" s="26">
        <v>0.0</v>
      </c>
      <c r="G36" s="56">
        <v>0.0</v>
      </c>
      <c r="H36" s="57" t="s">
        <v>50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5" t="s">
        <v>51</v>
      </c>
      <c r="C37" s="55" t="s">
        <v>48</v>
      </c>
      <c r="D37" s="27" t="s">
        <v>52</v>
      </c>
      <c r="E37" s="58">
        <v>2.0</v>
      </c>
      <c r="F37" s="30">
        <v>5.0</v>
      </c>
      <c r="G37" s="58">
        <v>10.0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5" t="s">
        <v>53</v>
      </c>
      <c r="C38" s="55" t="s">
        <v>48</v>
      </c>
      <c r="D38" s="59"/>
      <c r="E38" s="58">
        <v>1.0</v>
      </c>
      <c r="F38" s="30">
        <v>4.0</v>
      </c>
      <c r="G38" s="58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5" t="s">
        <v>54</v>
      </c>
      <c r="C39" s="55" t="s">
        <v>48</v>
      </c>
      <c r="D39" s="27" t="s">
        <v>55</v>
      </c>
      <c r="E39" s="58">
        <v>1.0</v>
      </c>
      <c r="F39" s="30">
        <v>4.0</v>
      </c>
      <c r="G39" s="58">
        <v>4.0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5" t="s">
        <v>56</v>
      </c>
      <c r="C40" s="55" t="s">
        <v>48</v>
      </c>
      <c r="D40" s="27" t="s">
        <v>57</v>
      </c>
      <c r="E40" s="58">
        <v>1.0</v>
      </c>
      <c r="F40" s="30">
        <v>0.0</v>
      </c>
      <c r="G40" s="58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5" t="s">
        <v>58</v>
      </c>
      <c r="C41" s="55" t="s">
        <v>48</v>
      </c>
      <c r="D41" s="27" t="s">
        <v>59</v>
      </c>
      <c r="E41" s="58">
        <v>0.5</v>
      </c>
      <c r="F41" s="30">
        <v>5.0</v>
      </c>
      <c r="G41" s="58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5" t="s">
        <v>60</v>
      </c>
      <c r="C42" s="55" t="s">
        <v>48</v>
      </c>
      <c r="D42" s="27" t="s">
        <v>61</v>
      </c>
      <c r="E42" s="58">
        <v>0.5</v>
      </c>
      <c r="F42" s="30">
        <v>5.0</v>
      </c>
      <c r="G42" s="58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5" t="s">
        <v>62</v>
      </c>
      <c r="C43" s="55" t="s">
        <v>48</v>
      </c>
      <c r="D43" s="27" t="s">
        <v>63</v>
      </c>
      <c r="E43" s="58">
        <v>2.0</v>
      </c>
      <c r="F43" s="30">
        <v>3.0</v>
      </c>
      <c r="G43" s="58">
        <v>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5" t="s">
        <v>64</v>
      </c>
      <c r="C44" s="55" t="s">
        <v>48</v>
      </c>
      <c r="D44" s="27" t="s">
        <v>65</v>
      </c>
      <c r="E44" s="58">
        <v>1.0</v>
      </c>
      <c r="F44" s="30">
        <v>1.0</v>
      </c>
      <c r="G44" s="58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5" t="s">
        <v>66</v>
      </c>
      <c r="C45" s="55" t="s">
        <v>48</v>
      </c>
      <c r="D45" s="27" t="s">
        <v>67</v>
      </c>
      <c r="E45" s="58">
        <v>1.0</v>
      </c>
      <c r="F45" s="30">
        <v>5.0</v>
      </c>
      <c r="G45" s="58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5" t="s">
        <v>68</v>
      </c>
      <c r="C46" s="55" t="s">
        <v>48</v>
      </c>
      <c r="D46" s="27" t="s">
        <v>69</v>
      </c>
      <c r="E46" s="58">
        <v>1.0</v>
      </c>
      <c r="F46" s="30">
        <v>5.0</v>
      </c>
      <c r="G46" s="58">
        <v>5.0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5" t="s">
        <v>70</v>
      </c>
      <c r="C47" s="55" t="s">
        <v>48</v>
      </c>
      <c r="D47" s="27" t="s">
        <v>71</v>
      </c>
      <c r="E47" s="58">
        <v>1.0</v>
      </c>
      <c r="F47" s="30">
        <v>4.0</v>
      </c>
      <c r="G47" s="58">
        <v>4.0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5" t="s">
        <v>72</v>
      </c>
      <c r="C48" s="55" t="s">
        <v>48</v>
      </c>
      <c r="D48" s="27" t="s">
        <v>73</v>
      </c>
      <c r="E48" s="58">
        <v>1.0</v>
      </c>
      <c r="F48" s="30">
        <v>3.0</v>
      </c>
      <c r="G48" s="58">
        <v>3.0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74</v>
      </c>
      <c r="C49" s="6"/>
      <c r="D49" s="6"/>
      <c r="E49" s="6"/>
      <c r="F49" s="7"/>
      <c r="G49" s="60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2" t="s">
        <v>75</v>
      </c>
      <c r="C50" s="6"/>
      <c r="D50" s="6"/>
      <c r="E50" s="6"/>
      <c r="F50" s="7"/>
      <c r="G50" s="53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4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61"/>
      <c r="C52" s="61"/>
      <c r="D52" s="62"/>
      <c r="E52" s="61"/>
      <c r="F52" s="61"/>
      <c r="G52" s="6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0" t="s">
        <v>76</v>
      </c>
      <c r="B53" s="22" t="s">
        <v>77</v>
      </c>
      <c r="C53" s="22" t="s">
        <v>78</v>
      </c>
      <c r="D53" s="21" t="s">
        <v>79</v>
      </c>
      <c r="E53" s="21" t="s">
        <v>9</v>
      </c>
      <c r="F53" s="21" t="s">
        <v>44</v>
      </c>
      <c r="G53" s="21" t="s">
        <v>45</v>
      </c>
      <c r="H53" s="1" t="s">
        <v>80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"/>
      <c r="B54" s="63" t="s">
        <v>81</v>
      </c>
      <c r="C54" s="55" t="s">
        <v>82</v>
      </c>
      <c r="D54" s="23" t="s">
        <v>83</v>
      </c>
      <c r="E54" s="56" t="s">
        <v>84</v>
      </c>
      <c r="F54" s="26">
        <v>3.0</v>
      </c>
      <c r="G54" s="56" t="s">
        <v>85</v>
      </c>
      <c r="H54" s="57" t="s">
        <v>50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3" t="s">
        <v>86</v>
      </c>
      <c r="C55" s="55" t="s">
        <v>82</v>
      </c>
      <c r="D55" s="27" t="s">
        <v>87</v>
      </c>
      <c r="E55" s="58" t="s">
        <v>88</v>
      </c>
      <c r="F55" s="30">
        <v>4.0</v>
      </c>
      <c r="G55" s="58">
        <v>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3" t="s">
        <v>89</v>
      </c>
      <c r="C56" s="55" t="s">
        <v>82</v>
      </c>
      <c r="D56" s="27" t="s">
        <v>90</v>
      </c>
      <c r="E56" s="58">
        <v>1.0</v>
      </c>
      <c r="F56" s="30">
        <v>4.0</v>
      </c>
      <c r="G56" s="58">
        <v>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3" t="s">
        <v>91</v>
      </c>
      <c r="C57" s="55" t="s">
        <v>82</v>
      </c>
      <c r="D57" s="27" t="s">
        <v>92</v>
      </c>
      <c r="E57" s="58" t="s">
        <v>88</v>
      </c>
      <c r="F57" s="30">
        <v>3.0</v>
      </c>
      <c r="G57" s="58" t="s">
        <v>84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63" t="s">
        <v>93</v>
      </c>
      <c r="C58" s="55" t="s">
        <v>94</v>
      </c>
      <c r="D58" s="27" t="s">
        <v>95</v>
      </c>
      <c r="E58" s="58">
        <v>1.0</v>
      </c>
      <c r="F58" s="30">
        <v>4.0</v>
      </c>
      <c r="G58" s="58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3" t="s">
        <v>96</v>
      </c>
      <c r="C59" s="55" t="s">
        <v>97</v>
      </c>
      <c r="D59" s="27" t="s">
        <v>98</v>
      </c>
      <c r="E59" s="58">
        <v>2.0</v>
      </c>
      <c r="F59" s="30">
        <v>2.0</v>
      </c>
      <c r="G59" s="58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3" t="s">
        <v>99</v>
      </c>
      <c r="C60" s="55" t="s">
        <v>100</v>
      </c>
      <c r="D60" s="27" t="s">
        <v>101</v>
      </c>
      <c r="E60" s="58">
        <v>-1.0</v>
      </c>
      <c r="F60" s="30">
        <v>4.0</v>
      </c>
      <c r="G60" s="58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3" t="s">
        <v>102</v>
      </c>
      <c r="C61" s="55" t="s">
        <v>103</v>
      </c>
      <c r="D61" s="27" t="s">
        <v>104</v>
      </c>
      <c r="E61" s="58">
        <v>-1.0</v>
      </c>
      <c r="F61" s="30">
        <v>4.0</v>
      </c>
      <c r="G61" s="58">
        <v>-4.0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105</v>
      </c>
      <c r="C62" s="6"/>
      <c r="D62" s="6"/>
      <c r="E62" s="6"/>
      <c r="F62" s="7"/>
      <c r="G62" s="21">
        <f>SUM(G54:G61)</f>
        <v>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 t="s">
        <v>106</v>
      </c>
      <c r="C63" s="6"/>
      <c r="D63" s="6"/>
      <c r="E63" s="6"/>
      <c r="F63" s="7"/>
      <c r="G63" s="21">
        <f>1.4 + (-0.03*G62)</f>
        <v>1.22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2"/>
      <c r="C64" s="64"/>
      <c r="D64" s="65"/>
      <c r="E64" s="64"/>
      <c r="F64" s="66" t="s">
        <v>107</v>
      </c>
      <c r="G64" s="21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4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20" t="s">
        <v>108</v>
      </c>
      <c r="B67" s="67" t="s">
        <v>109</v>
      </c>
      <c r="C67" s="6"/>
      <c r="D67" s="6"/>
      <c r="E67" s="6"/>
      <c r="F67" s="7"/>
      <c r="G67" s="68">
        <f>F32*G50*G63</f>
        <v>114.8752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9" t="s">
        <v>110</v>
      </c>
      <c r="B70" s="22" t="s">
        <v>111</v>
      </c>
      <c r="C70" s="22" t="s">
        <v>112</v>
      </c>
      <c r="D70" s="22" t="s">
        <v>113</v>
      </c>
      <c r="E70" s="3"/>
      <c r="F70" s="1"/>
      <c r="G70" s="22" t="s">
        <v>114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70">
        <v>20.0</v>
      </c>
      <c r="C71" s="70">
        <f>IF($G$64&gt;=5,36,IF(AND(G$64&gt;2,$G$64&lt;=4),28, IF(AND($G$64&gt;=0,$G$64&lt;=2),20,"error")))</f>
        <v>28</v>
      </c>
      <c r="D71" s="71">
        <f>IF($G$64&gt;=5,$G$71*(36/20),IF(AND($G$64&gt;2,$G$64&lt;=4),$G$71*(28/20), IF(AND($G$64&gt;=0,$G$64&lt;=2),$G$71,"error")))</f>
        <v>3.5</v>
      </c>
      <c r="E71" s="3"/>
      <c r="F71" s="1"/>
      <c r="G71" s="72">
        <v>2.5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3" t="s">
        <v>115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74" t="s">
        <v>116</v>
      </c>
      <c r="B73" s="70">
        <f t="shared" ref="B73:D73" si="1">$G$67*B71</f>
        <v>2297.504</v>
      </c>
      <c r="C73" s="70">
        <f t="shared" si="1"/>
        <v>3216.5056</v>
      </c>
      <c r="D73" s="70">
        <f t="shared" si="1"/>
        <v>402.0632</v>
      </c>
      <c r="E73" s="3"/>
      <c r="F73" s="1"/>
      <c r="G73" s="22" t="s">
        <v>117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4" t="s">
        <v>118</v>
      </c>
      <c r="B74" s="75">
        <f>B73/(22*G74)</f>
        <v>52.216</v>
      </c>
      <c r="C74" s="75">
        <f>C73/(22*G74)</f>
        <v>73.1024</v>
      </c>
      <c r="D74" s="76">
        <f>D73/(22*G74)</f>
        <v>9.1378</v>
      </c>
      <c r="E74" s="3"/>
      <c r="F74" s="1"/>
      <c r="G74" s="72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20" t="s">
        <v>119</v>
      </c>
      <c r="B77" s="77" t="s">
        <v>120</v>
      </c>
      <c r="C77" s="78"/>
      <c r="D77" s="65"/>
      <c r="E77" s="64"/>
      <c r="F77" s="7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54" t="s">
        <v>121</v>
      </c>
      <c r="C78" s="21" t="s">
        <v>122</v>
      </c>
      <c r="D78" s="68" t="s">
        <v>123</v>
      </c>
      <c r="E78" s="68" t="s">
        <v>124</v>
      </c>
      <c r="F78" s="68" t="s">
        <v>125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80" t="s">
        <v>126</v>
      </c>
      <c r="C79" s="81">
        <v>0.4</v>
      </c>
      <c r="D79" s="75">
        <f t="shared" ref="D79:F79" si="2">+B73</f>
        <v>2297.504</v>
      </c>
      <c r="E79" s="75">
        <f t="shared" si="2"/>
        <v>3216.5056</v>
      </c>
      <c r="F79" s="75">
        <f t="shared" si="2"/>
        <v>402.0632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80" t="s">
        <v>127</v>
      </c>
      <c r="C80" s="81">
        <f>1-C79</f>
        <v>0.6</v>
      </c>
      <c r="D80" s="70">
        <f t="shared" ref="D80:F80" si="3">+D79*1.5</f>
        <v>3446.256</v>
      </c>
      <c r="E80" s="70">
        <f t="shared" si="3"/>
        <v>4824.7584</v>
      </c>
      <c r="F80" s="70">
        <f t="shared" si="3"/>
        <v>603.0948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2"/>
      <c r="C81" s="81">
        <f>SUM(C79:C80)</f>
        <v>1</v>
      </c>
      <c r="D81" s="75">
        <f t="shared" ref="D81:F81" si="4">+D79+D80</f>
        <v>5743.76</v>
      </c>
      <c r="E81" s="75">
        <f t="shared" si="4"/>
        <v>8041.264</v>
      </c>
      <c r="F81" s="75">
        <f t="shared" si="4"/>
        <v>1005.158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20" t="s">
        <v>128</v>
      </c>
      <c r="B83" s="77" t="s">
        <v>129</v>
      </c>
      <c r="C83" s="78"/>
      <c r="D83" s="65"/>
      <c r="E83" s="64"/>
      <c r="F83" s="7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54" t="s">
        <v>121</v>
      </c>
      <c r="C84" s="21" t="s">
        <v>122</v>
      </c>
      <c r="D84" s="68" t="s">
        <v>130</v>
      </c>
      <c r="E84" s="68" t="s">
        <v>131</v>
      </c>
      <c r="F84" s="68" t="s">
        <v>132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80" t="s">
        <v>126</v>
      </c>
      <c r="C85" s="81">
        <v>0.4</v>
      </c>
      <c r="D85" s="75">
        <f t="shared" ref="D85:F85" si="5">$C85/$C$85*B$74</f>
        <v>52.216</v>
      </c>
      <c r="E85" s="75">
        <f t="shared" si="5"/>
        <v>73.1024</v>
      </c>
      <c r="F85" s="75">
        <f t="shared" si="5"/>
        <v>9.1378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80" t="s">
        <v>127</v>
      </c>
      <c r="C86" s="81">
        <f>1-C85</f>
        <v>0.6</v>
      </c>
      <c r="D86" s="70">
        <f t="shared" ref="D86:F86" si="6">$C86/$C$85*B$74</f>
        <v>78.324</v>
      </c>
      <c r="E86" s="70">
        <f t="shared" si="6"/>
        <v>109.6536</v>
      </c>
      <c r="F86" s="70">
        <f t="shared" si="6"/>
        <v>13.7067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82"/>
      <c r="C87" s="81">
        <f>SUM(C85:C86)</f>
        <v>1</v>
      </c>
      <c r="D87" s="75">
        <f t="shared" ref="D87:F87" si="7">$C87/$C$85*B$74</f>
        <v>130.54</v>
      </c>
      <c r="E87" s="75">
        <f t="shared" si="7"/>
        <v>182.756</v>
      </c>
      <c r="F87" s="75">
        <f t="shared" si="7"/>
        <v>22.8445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20" t="s">
        <v>133</v>
      </c>
      <c r="B89" s="83">
        <v>5.0</v>
      </c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20" t="s">
        <v>134</v>
      </c>
      <c r="B91" s="68" t="s">
        <v>135</v>
      </c>
      <c r="C91" s="68" t="s">
        <v>136</v>
      </c>
      <c r="D91" s="68" t="s">
        <v>137</v>
      </c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84"/>
      <c r="B92" s="85">
        <f>$D$87/$B$89</f>
        <v>26.108</v>
      </c>
      <c r="C92" s="85">
        <f>$E$87/$B$89</f>
        <v>36.5512</v>
      </c>
      <c r="D92" s="85">
        <f>$F$87/$B$89</f>
        <v>4.5689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6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6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6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decimal" allowBlank="1" showInputMessage="1" showErrorMessage="1" prompt="Entre 1 y 9 personas." sqref="B89">
      <formula1>1.0</formula1>
      <formula2>9.0</formula2>
    </dataValidation>
  </dataValidations>
  <hyperlinks>
    <hyperlink r:id="rId2" location="v=onepage&amp;q=e7%20part-time%20members&amp;f=false" ref="H36"/>
    <hyperlink r:id="rId3" location="v=onepage&amp;q=e7%20part-time%20members&amp;f=false" ref="H54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3.0</v>
      </c>
      <c r="E16" s="42" t="s">
        <v>26</v>
      </c>
      <c r="F16" s="42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4"/>
      <c r="D17" s="45">
        <v>6.0</v>
      </c>
      <c r="E17" s="46" t="s">
        <v>28</v>
      </c>
      <c r="F17" s="46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29</v>
      </c>
      <c r="C18" s="44"/>
      <c r="D18" s="45">
        <v>8.0</v>
      </c>
      <c r="E18" s="46" t="s">
        <v>13</v>
      </c>
      <c r="F18" s="46">
        <v>15.0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 t="s">
        <v>30</v>
      </c>
      <c r="C19" s="44"/>
      <c r="D19" s="45">
        <v>3.0</v>
      </c>
      <c r="E19" s="46" t="s">
        <v>26</v>
      </c>
      <c r="F19" s="46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 t="s">
        <v>31</v>
      </c>
      <c r="C20" s="44"/>
      <c r="D20" s="47">
        <v>7.0</v>
      </c>
      <c r="E20" s="46" t="s">
        <v>13</v>
      </c>
      <c r="F20" s="46">
        <v>15.0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32</v>
      </c>
      <c r="C21" s="44"/>
      <c r="D21" s="45">
        <v>4.0</v>
      </c>
      <c r="E21" s="46" t="s">
        <v>28</v>
      </c>
      <c r="F21" s="46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33</v>
      </c>
      <c r="C22" s="44"/>
      <c r="D22" s="45">
        <v>3.0</v>
      </c>
      <c r="E22" s="46" t="s">
        <v>26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34</v>
      </c>
      <c r="C23" s="44"/>
      <c r="D23" s="45">
        <v>3.0</v>
      </c>
      <c r="E23" s="46" t="s">
        <v>26</v>
      </c>
      <c r="F23" s="46">
        <v>5.0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35</v>
      </c>
      <c r="C24" s="44"/>
      <c r="D24" s="45">
        <v>4.0</v>
      </c>
      <c r="E24" s="46" t="s">
        <v>28</v>
      </c>
      <c r="F24" s="46">
        <v>10.0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 t="s">
        <v>36</v>
      </c>
      <c r="C25" s="44"/>
      <c r="D25" s="45">
        <v>3.0</v>
      </c>
      <c r="E25" s="46" t="s">
        <v>26</v>
      </c>
      <c r="F25" s="46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49"/>
      <c r="C26" s="50" t="s">
        <v>37</v>
      </c>
      <c r="D26" s="51"/>
      <c r="E26" s="52"/>
      <c r="F26" s="53">
        <f>SUM(F16:F25)</f>
        <v>85</v>
      </c>
      <c r="G26" s="1"/>
      <c r="H26" s="20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20" t="s">
        <v>38</v>
      </c>
      <c r="B29" s="54"/>
      <c r="C29" s="32" t="s">
        <v>138</v>
      </c>
      <c r="D29" s="6"/>
      <c r="E29" s="7"/>
      <c r="F29" s="33">
        <f>G12+F26</f>
        <v>88</v>
      </c>
      <c r="G29" s="1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3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40</v>
      </c>
      <c r="B32" s="22" t="s">
        <v>41</v>
      </c>
      <c r="C32" s="22" t="s">
        <v>42</v>
      </c>
      <c r="D32" s="21" t="s">
        <v>43</v>
      </c>
      <c r="E32" s="21" t="s">
        <v>9</v>
      </c>
      <c r="F32" s="21" t="s">
        <v>44</v>
      </c>
      <c r="G32" s="21" t="s">
        <v>45</v>
      </c>
      <c r="H32" s="1" t="s">
        <v>46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75" customHeight="1">
      <c r="A33" s="1"/>
      <c r="B33" s="55" t="s">
        <v>47</v>
      </c>
      <c r="C33" s="55" t="s">
        <v>48</v>
      </c>
      <c r="D33" s="23" t="s">
        <v>49</v>
      </c>
      <c r="E33" s="56">
        <v>2.0</v>
      </c>
      <c r="F33" s="26">
        <v>0.0</v>
      </c>
      <c r="G33" s="56">
        <v>0.0</v>
      </c>
      <c r="H33" s="57" t="s">
        <v>50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5" t="s">
        <v>51</v>
      </c>
      <c r="C34" s="55" t="s">
        <v>48</v>
      </c>
      <c r="D34" s="27" t="s">
        <v>52</v>
      </c>
      <c r="E34" s="58">
        <v>2.0</v>
      </c>
      <c r="F34" s="30">
        <v>5.0</v>
      </c>
      <c r="G34" s="58">
        <v>10.0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5" t="s">
        <v>53</v>
      </c>
      <c r="C35" s="55" t="s">
        <v>48</v>
      </c>
      <c r="D35" s="59"/>
      <c r="E35" s="58">
        <v>1.0</v>
      </c>
      <c r="F35" s="30">
        <v>5.0</v>
      </c>
      <c r="G35" s="58">
        <v>5.0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5" t="s">
        <v>54</v>
      </c>
      <c r="C36" s="55" t="s">
        <v>48</v>
      </c>
      <c r="D36" s="27" t="s">
        <v>55</v>
      </c>
      <c r="E36" s="58">
        <v>1.0</v>
      </c>
      <c r="F36" s="30">
        <v>3.0</v>
      </c>
      <c r="G36" s="58">
        <v>3.0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5" t="s">
        <v>56</v>
      </c>
      <c r="C37" s="55" t="s">
        <v>48</v>
      </c>
      <c r="D37" s="27" t="s">
        <v>57</v>
      </c>
      <c r="E37" s="58">
        <v>1.0</v>
      </c>
      <c r="F37" s="30">
        <v>0.0</v>
      </c>
      <c r="G37" s="58">
        <v>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5" t="s">
        <v>58</v>
      </c>
      <c r="C38" s="55" t="s">
        <v>48</v>
      </c>
      <c r="D38" s="27" t="s">
        <v>59</v>
      </c>
      <c r="E38" s="58" t="s">
        <v>88</v>
      </c>
      <c r="F38" s="30">
        <v>3.0</v>
      </c>
      <c r="G38" s="58" t="s">
        <v>84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5" t="s">
        <v>60</v>
      </c>
      <c r="C39" s="55" t="s">
        <v>48</v>
      </c>
      <c r="D39" s="27" t="s">
        <v>61</v>
      </c>
      <c r="E39" s="58" t="s">
        <v>88</v>
      </c>
      <c r="F39" s="30">
        <v>5.0</v>
      </c>
      <c r="G39" s="58" t="s">
        <v>139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5" t="s">
        <v>62</v>
      </c>
      <c r="C40" s="55" t="s">
        <v>48</v>
      </c>
      <c r="D40" s="27" t="s">
        <v>63</v>
      </c>
      <c r="E40" s="58">
        <v>2.0</v>
      </c>
      <c r="F40" s="30">
        <v>3.0</v>
      </c>
      <c r="G40" s="58">
        <v>6.0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5" t="s">
        <v>64</v>
      </c>
      <c r="C41" s="55" t="s">
        <v>48</v>
      </c>
      <c r="D41" s="27" t="s">
        <v>140</v>
      </c>
      <c r="E41" s="58">
        <v>1.0</v>
      </c>
      <c r="F41" s="30">
        <v>0.0</v>
      </c>
      <c r="G41" s="58">
        <v>0.0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5" t="s">
        <v>66</v>
      </c>
      <c r="C42" s="55" t="s">
        <v>48</v>
      </c>
      <c r="D42" s="59"/>
      <c r="E42" s="58">
        <v>1.0</v>
      </c>
      <c r="F42" s="30">
        <v>5.0</v>
      </c>
      <c r="G42" s="58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5" t="s">
        <v>68</v>
      </c>
      <c r="C43" s="55" t="s">
        <v>48</v>
      </c>
      <c r="D43" s="27" t="s">
        <v>69</v>
      </c>
      <c r="E43" s="58">
        <v>1.0</v>
      </c>
      <c r="F43" s="30">
        <v>5.0</v>
      </c>
      <c r="G43" s="58">
        <v>5.0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5" t="s">
        <v>70</v>
      </c>
      <c r="C44" s="55" t="s">
        <v>48</v>
      </c>
      <c r="D44" s="27" t="s">
        <v>71</v>
      </c>
      <c r="E44" s="58">
        <v>1.0</v>
      </c>
      <c r="F44" s="30">
        <v>5.0</v>
      </c>
      <c r="G44" s="58">
        <v>5.0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5" t="s">
        <v>72</v>
      </c>
      <c r="C45" s="55" t="s">
        <v>48</v>
      </c>
      <c r="D45" s="27" t="s">
        <v>73</v>
      </c>
      <c r="E45" s="58">
        <v>1.0</v>
      </c>
      <c r="F45" s="30">
        <v>4.0</v>
      </c>
      <c r="G45" s="58">
        <v>4.0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141</v>
      </c>
      <c r="C46" s="6"/>
      <c r="D46" s="6"/>
      <c r="E46" s="6"/>
      <c r="F46" s="7"/>
      <c r="G46" s="60">
        <f>SUM(G33:G45)</f>
        <v>43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2" t="s">
        <v>142</v>
      </c>
      <c r="C47" s="6"/>
      <c r="D47" s="6"/>
      <c r="E47" s="6"/>
      <c r="F47" s="7"/>
      <c r="G47" s="53">
        <f>0.6+(0.01*G46)</f>
        <v>1.03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4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61"/>
      <c r="C49" s="61"/>
      <c r="D49" s="62"/>
      <c r="E49" s="61"/>
      <c r="F49" s="61"/>
      <c r="G49" s="6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0" t="s">
        <v>76</v>
      </c>
      <c r="B50" s="22" t="s">
        <v>77</v>
      </c>
      <c r="C50" s="22" t="s">
        <v>78</v>
      </c>
      <c r="D50" s="21" t="s">
        <v>79</v>
      </c>
      <c r="E50" s="21" t="s">
        <v>9</v>
      </c>
      <c r="F50" s="21" t="s">
        <v>44</v>
      </c>
      <c r="G50" s="21" t="s">
        <v>45</v>
      </c>
      <c r="H50" s="1" t="s">
        <v>80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1"/>
      <c r="B51" s="63" t="s">
        <v>81</v>
      </c>
      <c r="C51" s="55" t="s">
        <v>82</v>
      </c>
      <c r="D51" s="23" t="s">
        <v>143</v>
      </c>
      <c r="E51" s="56" t="s">
        <v>84</v>
      </c>
      <c r="F51" s="26">
        <v>3.0</v>
      </c>
      <c r="G51" s="56" t="s">
        <v>85</v>
      </c>
      <c r="H51" s="57" t="s">
        <v>50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3" t="s">
        <v>86</v>
      </c>
      <c r="C52" s="55" t="s">
        <v>82</v>
      </c>
      <c r="D52" s="27" t="s">
        <v>144</v>
      </c>
      <c r="E52" s="58" t="s">
        <v>88</v>
      </c>
      <c r="F52" s="30">
        <v>3.0</v>
      </c>
      <c r="G52" s="58" t="s">
        <v>84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3" t="s">
        <v>89</v>
      </c>
      <c r="C53" s="55" t="s">
        <v>82</v>
      </c>
      <c r="D53" s="27" t="s">
        <v>145</v>
      </c>
      <c r="E53" s="58">
        <v>1.0</v>
      </c>
      <c r="F53" s="30">
        <v>3.0</v>
      </c>
      <c r="G53" s="58">
        <v>3.0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3" t="s">
        <v>91</v>
      </c>
      <c r="C54" s="55" t="s">
        <v>82</v>
      </c>
      <c r="D54" s="27" t="s">
        <v>146</v>
      </c>
      <c r="E54" s="58" t="s">
        <v>88</v>
      </c>
      <c r="F54" s="30">
        <v>2.0</v>
      </c>
      <c r="G54" s="58">
        <v>1.0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63" t="s">
        <v>93</v>
      </c>
      <c r="C55" s="55" t="s">
        <v>94</v>
      </c>
      <c r="D55" s="27" t="s">
        <v>147</v>
      </c>
      <c r="E55" s="58">
        <v>1.0</v>
      </c>
      <c r="F55" s="30">
        <v>3.0</v>
      </c>
      <c r="G55" s="58">
        <v>3.0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3" t="s">
        <v>96</v>
      </c>
      <c r="C56" s="55" t="s">
        <v>97</v>
      </c>
      <c r="D56" s="27" t="s">
        <v>148</v>
      </c>
      <c r="E56" s="58">
        <v>2.0</v>
      </c>
      <c r="F56" s="30">
        <v>4.0</v>
      </c>
      <c r="G56" s="58">
        <v>8.0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3" t="s">
        <v>99</v>
      </c>
      <c r="C57" s="55" t="s">
        <v>100</v>
      </c>
      <c r="D57" s="27" t="s">
        <v>101</v>
      </c>
      <c r="E57" s="58">
        <v>-1.0</v>
      </c>
      <c r="F57" s="30">
        <v>2.0</v>
      </c>
      <c r="G57" s="58">
        <v>-2.0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3" t="s">
        <v>102</v>
      </c>
      <c r="C58" s="55" t="s">
        <v>103</v>
      </c>
      <c r="D58" s="27" t="s">
        <v>149</v>
      </c>
      <c r="E58" s="58">
        <v>-1.0</v>
      </c>
      <c r="F58" s="30">
        <v>4.0</v>
      </c>
      <c r="G58" s="58">
        <v>-4.0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105</v>
      </c>
      <c r="C59" s="6"/>
      <c r="D59" s="6"/>
      <c r="E59" s="6"/>
      <c r="F59" s="7"/>
      <c r="G59" s="21">
        <f>SUM(G51:G58)</f>
        <v>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 t="s">
        <v>150</v>
      </c>
      <c r="C60" s="6"/>
      <c r="D60" s="6"/>
      <c r="E60" s="6"/>
      <c r="F60" s="7"/>
      <c r="G60" s="21">
        <f>1.4 + (-0.03*G59)</f>
        <v>1.13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/>
      <c r="C61" s="64"/>
      <c r="D61" s="65"/>
      <c r="E61" s="64"/>
      <c r="F61" s="66" t="s">
        <v>107</v>
      </c>
      <c r="G61" s="21">
        <f>COUNTIF($F$51:$F$56,"&lt;3")+COUNTIF($F$57:$F$58,"&gt;3")</f>
        <v>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4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20" t="s">
        <v>108</v>
      </c>
      <c r="B64" s="67" t="s">
        <v>151</v>
      </c>
      <c r="C64" s="6"/>
      <c r="D64" s="6"/>
      <c r="E64" s="6"/>
      <c r="F64" s="7"/>
      <c r="G64" s="68">
        <f>F29*G47*G60</f>
        <v>102.4232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9" t="s">
        <v>110</v>
      </c>
      <c r="B67" s="22" t="s">
        <v>111</v>
      </c>
      <c r="C67" s="22" t="s">
        <v>112</v>
      </c>
      <c r="D67" s="22" t="s">
        <v>113</v>
      </c>
      <c r="E67" s="3"/>
      <c r="F67" s="1"/>
      <c r="G67" s="22" t="s">
        <v>114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70">
        <v>20.0</v>
      </c>
      <c r="C68" s="70">
        <f>IF($G$61&gt;=5,36,IF(AND(G$61&gt;2,$G$61&lt;=4),28, IF(AND($G$61&gt;=0,$G$61&lt;=2),20,"error")))</f>
        <v>20</v>
      </c>
      <c r="D68" s="71">
        <f>IF($G$61&gt;=5,$G$68*(36/20),IF(AND($G$61&gt;2,$G$61&lt;=4),$G$68*(28/20), IF(AND($G$61&gt;=0,$G$61&lt;=2),$G$68,"error")))</f>
        <v>2.5</v>
      </c>
      <c r="E68" s="3"/>
      <c r="F68" s="1"/>
      <c r="G68" s="72">
        <v>2.5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73" t="s">
        <v>115</v>
      </c>
      <c r="C69" s="6"/>
      <c r="D69" s="7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4" t="s">
        <v>116</v>
      </c>
      <c r="B70" s="70">
        <f t="shared" ref="B70:D70" si="1">$G$64*B68</f>
        <v>2048.464</v>
      </c>
      <c r="C70" s="70">
        <f t="shared" si="1"/>
        <v>2048.464</v>
      </c>
      <c r="D70" s="70">
        <f t="shared" si="1"/>
        <v>256.058</v>
      </c>
      <c r="E70" s="3"/>
      <c r="F70" s="1"/>
      <c r="G70" s="22" t="s">
        <v>117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74" t="s">
        <v>118</v>
      </c>
      <c r="B71" s="75">
        <f>B70/(22*G71)</f>
        <v>46.556</v>
      </c>
      <c r="C71" s="75">
        <f>C70/(22*G71)</f>
        <v>46.556</v>
      </c>
      <c r="D71" s="76">
        <f>D70/(22*G71)</f>
        <v>5.8195</v>
      </c>
      <c r="E71" s="3"/>
      <c r="F71" s="1"/>
      <c r="G71" s="72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20" t="s">
        <v>119</v>
      </c>
      <c r="B74" s="77" t="s">
        <v>120</v>
      </c>
      <c r="C74" s="78"/>
      <c r="D74" s="65"/>
      <c r="E74" s="64"/>
      <c r="F74" s="7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54" t="s">
        <v>121</v>
      </c>
      <c r="C75" s="21" t="s">
        <v>122</v>
      </c>
      <c r="D75" s="68" t="s">
        <v>123</v>
      </c>
      <c r="E75" s="68" t="s">
        <v>124</v>
      </c>
      <c r="F75" s="68" t="s">
        <v>125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80" t="s">
        <v>126</v>
      </c>
      <c r="C76" s="81">
        <v>0.4</v>
      </c>
      <c r="D76" s="75">
        <f t="shared" ref="D76:F76" si="2">+B70</f>
        <v>2048.464</v>
      </c>
      <c r="E76" s="75">
        <f t="shared" si="2"/>
        <v>2048.464</v>
      </c>
      <c r="F76" s="75">
        <f t="shared" si="2"/>
        <v>256.058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80" t="s">
        <v>127</v>
      </c>
      <c r="C77" s="81">
        <f>1-C76</f>
        <v>0.6</v>
      </c>
      <c r="D77" s="70">
        <f t="shared" ref="D77:F77" si="3">+D76*1.5</f>
        <v>3072.696</v>
      </c>
      <c r="E77" s="70">
        <f t="shared" si="3"/>
        <v>3072.696</v>
      </c>
      <c r="F77" s="70">
        <f t="shared" si="3"/>
        <v>384.087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82"/>
      <c r="C78" s="81">
        <f>SUM(C76:C77)</f>
        <v>1</v>
      </c>
      <c r="D78" s="75">
        <f t="shared" ref="D78:F78" si="4">+D76+D77</f>
        <v>5121.16</v>
      </c>
      <c r="E78" s="75">
        <f t="shared" si="4"/>
        <v>5121.16</v>
      </c>
      <c r="F78" s="75">
        <f t="shared" si="4"/>
        <v>640.145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128</v>
      </c>
      <c r="B80" s="77" t="s">
        <v>129</v>
      </c>
      <c r="C80" s="78"/>
      <c r="D80" s="65"/>
      <c r="E80" s="64"/>
      <c r="F80" s="7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54" t="s">
        <v>121</v>
      </c>
      <c r="C81" s="21" t="s">
        <v>122</v>
      </c>
      <c r="D81" s="68" t="s">
        <v>130</v>
      </c>
      <c r="E81" s="68" t="s">
        <v>131</v>
      </c>
      <c r="F81" s="68" t="s">
        <v>132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80" t="s">
        <v>126</v>
      </c>
      <c r="C82" s="81">
        <v>0.4</v>
      </c>
      <c r="D82" s="75">
        <f t="shared" ref="D82:F82" si="5">$C82/$C$82*B$71</f>
        <v>46.556</v>
      </c>
      <c r="E82" s="75">
        <f t="shared" si="5"/>
        <v>46.556</v>
      </c>
      <c r="F82" s="75">
        <f t="shared" si="5"/>
        <v>5.8195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80" t="s">
        <v>127</v>
      </c>
      <c r="C83" s="81">
        <f>1-C82</f>
        <v>0.6</v>
      </c>
      <c r="D83" s="70">
        <f t="shared" ref="D83:F83" si="6">$C83/$C$82*B$71</f>
        <v>69.834</v>
      </c>
      <c r="E83" s="70">
        <f t="shared" si="6"/>
        <v>69.834</v>
      </c>
      <c r="F83" s="70">
        <f t="shared" si="6"/>
        <v>8.72925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82"/>
      <c r="C84" s="81">
        <f>SUM(C82:C83)</f>
        <v>1</v>
      </c>
      <c r="D84" s="75">
        <f t="shared" ref="D84:F84" si="7">$C84/$C$82*B$71</f>
        <v>116.39</v>
      </c>
      <c r="E84" s="75">
        <f t="shared" si="7"/>
        <v>116.39</v>
      </c>
      <c r="F84" s="75">
        <f t="shared" si="7"/>
        <v>14.54875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133</v>
      </c>
      <c r="B86" s="83">
        <v>5.0</v>
      </c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134</v>
      </c>
      <c r="B88" s="68" t="s">
        <v>135</v>
      </c>
      <c r="C88" s="68" t="s">
        <v>136</v>
      </c>
      <c r="D88" s="68" t="s">
        <v>137</v>
      </c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84"/>
      <c r="B89" s="85">
        <f>$D$84/$B$86</f>
        <v>23.278</v>
      </c>
      <c r="C89" s="85">
        <f>$E$84/$B$86</f>
        <v>23.278</v>
      </c>
      <c r="D89" s="85">
        <f>$F$84/$B$86</f>
        <v>2.90975</v>
      </c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6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6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6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60:F60"/>
    <mergeCell ref="B64:F64"/>
    <mergeCell ref="B69:D69"/>
    <mergeCell ref="B2:G2"/>
    <mergeCell ref="C12:F12"/>
    <mergeCell ref="C26:E26"/>
    <mergeCell ref="C29:E29"/>
    <mergeCell ref="B46:F46"/>
    <mergeCell ref="B47:F47"/>
    <mergeCell ref="B59:F59"/>
  </mergeCells>
  <dataValidations>
    <dataValidation type="decimal" allowBlank="1" showInputMessage="1" showErrorMessage="1" prompt="Entre 1 y 9 personas." sqref="B86">
      <formula1>1.0</formula1>
      <formula2>9.0</formula2>
    </dataValidation>
  </dataValidations>
  <hyperlinks>
    <hyperlink r:id="rId2" location="v=onepage&amp;q=e7%20part-time%20members&amp;f=false" ref="H33"/>
    <hyperlink r:id="rId3" location="v=onepage&amp;q=e7%20part-time%20members&amp;f=false" ref="H51"/>
  </hyperlinks>
  <printOptions/>
  <pageMargins bottom="1.0" footer="0.0" header="0.0" left="0.75" right="0.75" top="1.0"/>
  <pageSetup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87" t="s">
        <v>1</v>
      </c>
      <c r="C3" s="4" t="s">
        <v>152</v>
      </c>
      <c r="D3" s="13"/>
      <c r="E3" s="13"/>
      <c r="F3" s="13"/>
      <c r="G3" s="88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89" t="s">
        <v>3</v>
      </c>
      <c r="C4" s="90" t="s">
        <v>153</v>
      </c>
      <c r="D4" s="91"/>
      <c r="E4" s="91"/>
      <c r="F4" s="91"/>
      <c r="G4" s="92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3.0</v>
      </c>
      <c r="E16" s="42" t="s">
        <v>26</v>
      </c>
      <c r="F16" s="42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4"/>
      <c r="D17" s="45">
        <v>6.0</v>
      </c>
      <c r="E17" s="46" t="s">
        <v>28</v>
      </c>
      <c r="F17" s="46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29</v>
      </c>
      <c r="C18" s="44"/>
      <c r="D18" s="45">
        <v>8.0</v>
      </c>
      <c r="E18" s="46" t="s">
        <v>13</v>
      </c>
      <c r="F18" s="46">
        <v>15.0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 t="s">
        <v>30</v>
      </c>
      <c r="C19" s="44"/>
      <c r="D19" s="45">
        <v>3.0</v>
      </c>
      <c r="E19" s="46" t="s">
        <v>26</v>
      </c>
      <c r="F19" s="46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 t="s">
        <v>31</v>
      </c>
      <c r="C20" s="44"/>
      <c r="D20" s="47">
        <v>7.0</v>
      </c>
      <c r="E20" s="46" t="s">
        <v>13</v>
      </c>
      <c r="F20" s="46">
        <v>15.0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32</v>
      </c>
      <c r="C21" s="44"/>
      <c r="D21" s="45">
        <v>4.0</v>
      </c>
      <c r="E21" s="46" t="s">
        <v>28</v>
      </c>
      <c r="F21" s="46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33</v>
      </c>
      <c r="C22" s="44"/>
      <c r="D22" s="45">
        <v>3.0</v>
      </c>
      <c r="E22" s="46" t="s">
        <v>26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34</v>
      </c>
      <c r="C23" s="44"/>
      <c r="D23" s="45">
        <v>3.0</v>
      </c>
      <c r="E23" s="46" t="s">
        <v>26</v>
      </c>
      <c r="F23" s="46">
        <v>5.0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35</v>
      </c>
      <c r="C24" s="44"/>
      <c r="D24" s="45">
        <v>4.0</v>
      </c>
      <c r="E24" s="46" t="s">
        <v>28</v>
      </c>
      <c r="F24" s="46">
        <v>10.0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 t="s">
        <v>36</v>
      </c>
      <c r="C25" s="44"/>
      <c r="D25" s="45">
        <v>3.0</v>
      </c>
      <c r="E25" s="46" t="s">
        <v>26</v>
      </c>
      <c r="F25" s="46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49"/>
      <c r="C26" s="50" t="s">
        <v>37</v>
      </c>
      <c r="D26" s="51"/>
      <c r="E26" s="52"/>
      <c r="F26" s="53">
        <f>SUM(F16:F25)</f>
        <v>85</v>
      </c>
      <c r="G26" s="1"/>
      <c r="H26" s="20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20" t="s">
        <v>38</v>
      </c>
      <c r="B29" s="54"/>
      <c r="C29" s="32" t="s">
        <v>154</v>
      </c>
      <c r="D29" s="6"/>
      <c r="E29" s="7"/>
      <c r="F29" s="33">
        <f>G12+F26</f>
        <v>88</v>
      </c>
      <c r="G29" s="1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3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40</v>
      </c>
      <c r="B32" s="22" t="s">
        <v>41</v>
      </c>
      <c r="C32" s="22" t="s">
        <v>42</v>
      </c>
      <c r="D32" s="21" t="s">
        <v>43</v>
      </c>
      <c r="E32" s="21" t="s">
        <v>9</v>
      </c>
      <c r="F32" s="21" t="s">
        <v>44</v>
      </c>
      <c r="G32" s="21" t="s">
        <v>45</v>
      </c>
      <c r="H32" s="1" t="s">
        <v>46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75" customHeight="1">
      <c r="A33" s="1"/>
      <c r="B33" s="55" t="s">
        <v>47</v>
      </c>
      <c r="C33" s="55" t="s">
        <v>48</v>
      </c>
      <c r="D33" s="23" t="s">
        <v>49</v>
      </c>
      <c r="E33" s="56">
        <v>2.0</v>
      </c>
      <c r="F33" s="26">
        <v>0.0</v>
      </c>
      <c r="G33" s="56">
        <v>0.0</v>
      </c>
      <c r="H33" s="57" t="s">
        <v>50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5" t="s">
        <v>51</v>
      </c>
      <c r="C34" s="55" t="s">
        <v>48</v>
      </c>
      <c r="D34" s="27" t="s">
        <v>52</v>
      </c>
      <c r="E34" s="58">
        <v>2.0</v>
      </c>
      <c r="F34" s="30">
        <v>5.0</v>
      </c>
      <c r="G34" s="58">
        <v>10.0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5" t="s">
        <v>53</v>
      </c>
      <c r="C35" s="55" t="s">
        <v>48</v>
      </c>
      <c r="D35" s="59"/>
      <c r="E35" s="58">
        <v>1.0</v>
      </c>
      <c r="F35" s="30">
        <v>4.0</v>
      </c>
      <c r="G35" s="58">
        <v>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5" t="s">
        <v>54</v>
      </c>
      <c r="C36" s="55" t="s">
        <v>48</v>
      </c>
      <c r="D36" s="27" t="s">
        <v>55</v>
      </c>
      <c r="E36" s="58">
        <v>1.0</v>
      </c>
      <c r="F36" s="30">
        <v>4.0</v>
      </c>
      <c r="G36" s="58">
        <v>4.0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5" t="s">
        <v>56</v>
      </c>
      <c r="C37" s="55" t="s">
        <v>48</v>
      </c>
      <c r="D37" s="27" t="s">
        <v>57</v>
      </c>
      <c r="E37" s="58">
        <v>1.0</v>
      </c>
      <c r="F37" s="30">
        <v>0.0</v>
      </c>
      <c r="G37" s="58">
        <v>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5" t="s">
        <v>58</v>
      </c>
      <c r="C38" s="55" t="s">
        <v>48</v>
      </c>
      <c r="D38" s="27" t="s">
        <v>59</v>
      </c>
      <c r="E38" s="58">
        <v>0.5</v>
      </c>
      <c r="F38" s="30">
        <v>5.0</v>
      </c>
      <c r="G38" s="58">
        <v>2.5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5" t="s">
        <v>60</v>
      </c>
      <c r="C39" s="55" t="s">
        <v>48</v>
      </c>
      <c r="D39" s="27" t="s">
        <v>61</v>
      </c>
      <c r="E39" s="58">
        <v>0.5</v>
      </c>
      <c r="F39" s="30">
        <v>5.0</v>
      </c>
      <c r="G39" s="58">
        <v>2.5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5" t="s">
        <v>62</v>
      </c>
      <c r="C40" s="55" t="s">
        <v>48</v>
      </c>
      <c r="D40" s="27" t="s">
        <v>63</v>
      </c>
      <c r="E40" s="58">
        <v>2.0</v>
      </c>
      <c r="F40" s="30">
        <v>3.0</v>
      </c>
      <c r="G40" s="58">
        <v>6.0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5" t="s">
        <v>64</v>
      </c>
      <c r="C41" s="55" t="s">
        <v>48</v>
      </c>
      <c r="D41" s="27" t="s">
        <v>65</v>
      </c>
      <c r="E41" s="58">
        <v>1.0</v>
      </c>
      <c r="F41" s="30">
        <v>1.0</v>
      </c>
      <c r="G41" s="58">
        <v>1.0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5" t="s">
        <v>66</v>
      </c>
      <c r="C42" s="55" t="s">
        <v>48</v>
      </c>
      <c r="D42" s="27" t="s">
        <v>67</v>
      </c>
      <c r="E42" s="58">
        <v>1.0</v>
      </c>
      <c r="F42" s="30">
        <v>5.0</v>
      </c>
      <c r="G42" s="58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5" t="s">
        <v>68</v>
      </c>
      <c r="C43" s="55" t="s">
        <v>48</v>
      </c>
      <c r="D43" s="27" t="s">
        <v>69</v>
      </c>
      <c r="E43" s="58">
        <v>1.0</v>
      </c>
      <c r="F43" s="30">
        <v>5.0</v>
      </c>
      <c r="G43" s="58">
        <v>5.0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5" t="s">
        <v>70</v>
      </c>
      <c r="C44" s="55" t="s">
        <v>48</v>
      </c>
      <c r="D44" s="27" t="s">
        <v>71</v>
      </c>
      <c r="E44" s="58">
        <v>1.0</v>
      </c>
      <c r="F44" s="30">
        <v>4.0</v>
      </c>
      <c r="G44" s="58">
        <v>4.0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5" t="s">
        <v>72</v>
      </c>
      <c r="C45" s="55" t="s">
        <v>48</v>
      </c>
      <c r="D45" s="27" t="s">
        <v>73</v>
      </c>
      <c r="E45" s="58">
        <v>1.0</v>
      </c>
      <c r="F45" s="30">
        <v>3.0</v>
      </c>
      <c r="G45" s="58">
        <v>3.0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155</v>
      </c>
      <c r="C46" s="6"/>
      <c r="D46" s="6"/>
      <c r="E46" s="6"/>
      <c r="F46" s="7"/>
      <c r="G46" s="60">
        <f>SUM(G33:G45)</f>
        <v>47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2" t="s">
        <v>156</v>
      </c>
      <c r="C47" s="6"/>
      <c r="D47" s="6"/>
      <c r="E47" s="6"/>
      <c r="F47" s="7"/>
      <c r="G47" s="53">
        <f>0.6+(0.01*G46)</f>
        <v>1.07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4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61"/>
      <c r="C49" s="61"/>
      <c r="D49" s="62"/>
      <c r="E49" s="61"/>
      <c r="F49" s="61"/>
      <c r="G49" s="6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0" t="s">
        <v>76</v>
      </c>
      <c r="B50" s="22" t="s">
        <v>77</v>
      </c>
      <c r="C50" s="22" t="s">
        <v>78</v>
      </c>
      <c r="D50" s="21" t="s">
        <v>79</v>
      </c>
      <c r="E50" s="21" t="s">
        <v>9</v>
      </c>
      <c r="F50" s="21" t="s">
        <v>44</v>
      </c>
      <c r="G50" s="21" t="s">
        <v>45</v>
      </c>
      <c r="H50" s="1" t="s">
        <v>80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1"/>
      <c r="B51" s="63" t="s">
        <v>81</v>
      </c>
      <c r="C51" s="55" t="s">
        <v>82</v>
      </c>
      <c r="D51" s="23" t="s">
        <v>157</v>
      </c>
      <c r="E51" s="56" t="s">
        <v>84</v>
      </c>
      <c r="F51" s="26">
        <v>2.0</v>
      </c>
      <c r="G51" s="56">
        <v>3.0</v>
      </c>
      <c r="H51" s="57" t="s">
        <v>50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3" t="s">
        <v>86</v>
      </c>
      <c r="C52" s="55" t="s">
        <v>82</v>
      </c>
      <c r="D52" s="27" t="s">
        <v>157</v>
      </c>
      <c r="E52" s="58" t="s">
        <v>88</v>
      </c>
      <c r="F52" s="30">
        <v>2.0</v>
      </c>
      <c r="G52" s="58">
        <v>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3" t="s">
        <v>89</v>
      </c>
      <c r="C53" s="55" t="s">
        <v>82</v>
      </c>
      <c r="D53" s="27" t="s">
        <v>157</v>
      </c>
      <c r="E53" s="58">
        <v>1.0</v>
      </c>
      <c r="F53" s="30">
        <v>2.0</v>
      </c>
      <c r="G53" s="58">
        <v>2.0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3" t="s">
        <v>91</v>
      </c>
      <c r="C54" s="55" t="s">
        <v>82</v>
      </c>
      <c r="D54" s="27" t="s">
        <v>158</v>
      </c>
      <c r="E54" s="58" t="s">
        <v>88</v>
      </c>
      <c r="F54" s="30">
        <v>3.0</v>
      </c>
      <c r="G54" s="58" t="s">
        <v>84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63" t="s">
        <v>93</v>
      </c>
      <c r="C55" s="55" t="s">
        <v>94</v>
      </c>
      <c r="D55" s="27" t="s">
        <v>159</v>
      </c>
      <c r="E55" s="58">
        <v>1.0</v>
      </c>
      <c r="F55" s="30">
        <v>0.0</v>
      </c>
      <c r="G55" s="58">
        <v>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3" t="s">
        <v>96</v>
      </c>
      <c r="C56" s="55" t="s">
        <v>97</v>
      </c>
      <c r="D56" s="27" t="s">
        <v>160</v>
      </c>
      <c r="E56" s="58">
        <v>2.0</v>
      </c>
      <c r="F56" s="30">
        <v>3.0</v>
      </c>
      <c r="G56" s="58">
        <v>6.0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3" t="s">
        <v>99</v>
      </c>
      <c r="C57" s="55" t="s">
        <v>100</v>
      </c>
      <c r="D57" s="27" t="s">
        <v>161</v>
      </c>
      <c r="E57" s="58">
        <v>-1.0</v>
      </c>
      <c r="F57" s="30">
        <v>3.0</v>
      </c>
      <c r="G57" s="58">
        <v>-3.0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3" t="s">
        <v>102</v>
      </c>
      <c r="C58" s="55" t="s">
        <v>103</v>
      </c>
      <c r="D58" s="27" t="s">
        <v>162</v>
      </c>
      <c r="E58" s="58">
        <v>-1.0</v>
      </c>
      <c r="F58" s="30">
        <v>5.0</v>
      </c>
      <c r="G58" s="58">
        <v>-5.0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105</v>
      </c>
      <c r="C59" s="6"/>
      <c r="D59" s="6"/>
      <c r="E59" s="6"/>
      <c r="F59" s="7"/>
      <c r="G59" s="21">
        <f>SUM(G51:G58)</f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 t="s">
        <v>163</v>
      </c>
      <c r="C60" s="6"/>
      <c r="D60" s="6"/>
      <c r="E60" s="6"/>
      <c r="F60" s="7"/>
      <c r="G60" s="21">
        <f>1.4 + (-0.03*G59)</f>
        <v>1.28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/>
      <c r="C61" s="64"/>
      <c r="D61" s="65"/>
      <c r="E61" s="64"/>
      <c r="F61" s="66" t="s">
        <v>107</v>
      </c>
      <c r="G61" s="21">
        <f>COUNTIF($F$51:$F$56,"&lt;3")+COUNTIF($F$57:$F$58,"&gt;3")</f>
        <v>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4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20" t="s">
        <v>108</v>
      </c>
      <c r="B64" s="67" t="s">
        <v>164</v>
      </c>
      <c r="C64" s="6"/>
      <c r="D64" s="6"/>
      <c r="E64" s="6"/>
      <c r="F64" s="7"/>
      <c r="G64" s="68">
        <f>F29*G47*G60</f>
        <v>120.5248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9" t="s">
        <v>110</v>
      </c>
      <c r="B67" s="22" t="s">
        <v>111</v>
      </c>
      <c r="C67" s="22" t="s">
        <v>112</v>
      </c>
      <c r="D67" s="22" t="s">
        <v>113</v>
      </c>
      <c r="E67" s="3"/>
      <c r="F67" s="1"/>
      <c r="G67" s="22" t="s">
        <v>114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70">
        <v>20.0</v>
      </c>
      <c r="C68" s="70">
        <f>IF($G$61&gt;=5,36,IF(AND(G$61&gt;2,$G$61&lt;=4),28, IF(AND($G$61&gt;=0,$G$61&lt;=2),20,"error")))</f>
        <v>36</v>
      </c>
      <c r="D68" s="71">
        <f>IF($G$61&gt;=5,$G$68*(36/20),IF(AND($G$61&gt;2,$G$61&lt;=4),$G$68*(28/20), IF(AND($G$61&gt;=0,$G$61&lt;=2),$G$68,"error")))</f>
        <v>4.5</v>
      </c>
      <c r="E68" s="3"/>
      <c r="F68" s="1"/>
      <c r="G68" s="72">
        <v>2.5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73" t="s">
        <v>115</v>
      </c>
      <c r="C69" s="6"/>
      <c r="D69" s="7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4" t="s">
        <v>116</v>
      </c>
      <c r="B70" s="70">
        <f t="shared" ref="B70:D70" si="1">$G$64*B68</f>
        <v>2410.496</v>
      </c>
      <c r="C70" s="70">
        <f t="shared" si="1"/>
        <v>4338.8928</v>
      </c>
      <c r="D70" s="70">
        <f t="shared" si="1"/>
        <v>542.3616</v>
      </c>
      <c r="E70" s="3"/>
      <c r="F70" s="1"/>
      <c r="G70" s="22" t="s">
        <v>117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74" t="s">
        <v>118</v>
      </c>
      <c r="B71" s="75">
        <f>B70/(22*G71)</f>
        <v>54.784</v>
      </c>
      <c r="C71" s="75">
        <f>C70/(22*G71)</f>
        <v>98.6112</v>
      </c>
      <c r="D71" s="76">
        <f>D70/(22*G71)</f>
        <v>12.3264</v>
      </c>
      <c r="E71" s="3"/>
      <c r="F71" s="1"/>
      <c r="G71" s="72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20" t="s">
        <v>119</v>
      </c>
      <c r="B74" s="77" t="s">
        <v>120</v>
      </c>
      <c r="C74" s="78"/>
      <c r="D74" s="65"/>
      <c r="E74" s="64"/>
      <c r="F74" s="7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54" t="s">
        <v>121</v>
      </c>
      <c r="C75" s="21" t="s">
        <v>122</v>
      </c>
      <c r="D75" s="68" t="s">
        <v>123</v>
      </c>
      <c r="E75" s="68" t="s">
        <v>124</v>
      </c>
      <c r="F75" s="68" t="s">
        <v>125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80" t="s">
        <v>126</v>
      </c>
      <c r="C76" s="81">
        <v>0.4</v>
      </c>
      <c r="D76" s="75">
        <f t="shared" ref="D76:F76" si="2">+B70</f>
        <v>2410.496</v>
      </c>
      <c r="E76" s="75">
        <f t="shared" si="2"/>
        <v>4338.8928</v>
      </c>
      <c r="F76" s="75">
        <f t="shared" si="2"/>
        <v>542.3616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80" t="s">
        <v>127</v>
      </c>
      <c r="C77" s="81">
        <f>1-C76</f>
        <v>0.6</v>
      </c>
      <c r="D77" s="70">
        <f t="shared" ref="D77:F77" si="3">+D76*1.5</f>
        <v>3615.744</v>
      </c>
      <c r="E77" s="70">
        <f t="shared" si="3"/>
        <v>6508.3392</v>
      </c>
      <c r="F77" s="70">
        <f t="shared" si="3"/>
        <v>813.5424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82"/>
      <c r="C78" s="81">
        <f>SUM(C76:C77)</f>
        <v>1</v>
      </c>
      <c r="D78" s="75">
        <f t="shared" ref="D78:F78" si="4">+D76+D77</f>
        <v>6026.24</v>
      </c>
      <c r="E78" s="75">
        <f t="shared" si="4"/>
        <v>10847.232</v>
      </c>
      <c r="F78" s="75">
        <f t="shared" si="4"/>
        <v>1355.904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128</v>
      </c>
      <c r="B80" s="77" t="s">
        <v>129</v>
      </c>
      <c r="C80" s="78"/>
      <c r="D80" s="65"/>
      <c r="E80" s="64"/>
      <c r="F80" s="7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54" t="s">
        <v>121</v>
      </c>
      <c r="C81" s="21" t="s">
        <v>122</v>
      </c>
      <c r="D81" s="68" t="s">
        <v>130</v>
      </c>
      <c r="E81" s="68" t="s">
        <v>131</v>
      </c>
      <c r="F81" s="68" t="s">
        <v>132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80" t="s">
        <v>126</v>
      </c>
      <c r="C82" s="81">
        <v>0.4</v>
      </c>
      <c r="D82" s="75">
        <f t="shared" ref="D82:F82" si="5">$C82/$C$82*B$71</f>
        <v>54.784</v>
      </c>
      <c r="E82" s="75">
        <f t="shared" si="5"/>
        <v>98.6112</v>
      </c>
      <c r="F82" s="75">
        <f t="shared" si="5"/>
        <v>12.3264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80" t="s">
        <v>127</v>
      </c>
      <c r="C83" s="81">
        <f>1-C82</f>
        <v>0.6</v>
      </c>
      <c r="D83" s="70">
        <f t="shared" ref="D83:F83" si="6">$C83/$C$82*B$71</f>
        <v>82.176</v>
      </c>
      <c r="E83" s="70">
        <f t="shared" si="6"/>
        <v>147.9168</v>
      </c>
      <c r="F83" s="70">
        <f t="shared" si="6"/>
        <v>18.4896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82"/>
      <c r="C84" s="81">
        <f>SUM(C82:C83)</f>
        <v>1</v>
      </c>
      <c r="D84" s="75">
        <f t="shared" ref="D84:F84" si="7">$C84/$C$82*B$71</f>
        <v>136.96</v>
      </c>
      <c r="E84" s="75">
        <f t="shared" si="7"/>
        <v>246.528</v>
      </c>
      <c r="F84" s="75">
        <f t="shared" si="7"/>
        <v>30.816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133</v>
      </c>
      <c r="B86" s="83">
        <v>5.0</v>
      </c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9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134</v>
      </c>
      <c r="B88" s="68" t="s">
        <v>135</v>
      </c>
      <c r="C88" s="68" t="s">
        <v>136</v>
      </c>
      <c r="D88" s="68" t="s">
        <v>137</v>
      </c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84"/>
      <c r="B89" s="85">
        <f>$D$84/$B$86</f>
        <v>27.392</v>
      </c>
      <c r="C89" s="85">
        <f>$E$84/$B$86</f>
        <v>49.3056</v>
      </c>
      <c r="D89" s="85">
        <f>$F$84/$B$86</f>
        <v>6.1632</v>
      </c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6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6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6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60:F60"/>
    <mergeCell ref="B64:F64"/>
    <mergeCell ref="B69:D69"/>
    <mergeCell ref="B2:G2"/>
    <mergeCell ref="C12:F12"/>
    <mergeCell ref="C26:E26"/>
    <mergeCell ref="C29:E29"/>
    <mergeCell ref="B46:F46"/>
    <mergeCell ref="B47:F47"/>
    <mergeCell ref="B59:F59"/>
  </mergeCells>
  <dataValidations>
    <dataValidation type="decimal" allowBlank="1" showInputMessage="1" showErrorMessage="1" prompt="Entre 1 y 9 personas." sqref="B86">
      <formula1>1.0</formula1>
      <formula2>9.0</formula2>
    </dataValidation>
  </dataValidations>
  <hyperlinks>
    <hyperlink r:id="rId2" location="v=onepage&amp;q=e7%20part-time%20members&amp;f=false" ref="H33"/>
    <hyperlink r:id="rId3" location="v=onepage&amp;q=e7%20part-time%20members&amp;f=false" ref="H51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