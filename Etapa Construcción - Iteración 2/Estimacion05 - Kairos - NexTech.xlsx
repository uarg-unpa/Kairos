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commentsmeta2"/>
  <Override ContentType="application/binary" PartName="/xl/metadata"/>
  <Override ContentType="application/binary" PartName="/xl/commentsmeta0"/>
  <Override ContentType="application/binary" PartName="/xl/commentsmeta1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stimacion05" sheetId="1" r:id="rId4"/>
    <sheet state="visible" name="Velocidad de equipo Est. 05" sheetId="2" r:id="rId5"/>
    <sheet state="visible" name="Estimacion05 (Optimista)" sheetId="3" r:id="rId6"/>
    <sheet state="visible" name="Estimacion05 (Pesimista)" sheetId="4" r:id="rId7"/>
  </sheets>
  <definedNames>
    <definedName localSheetId="0" name="solver_eng">1</definedName>
    <definedName localSheetId="1" name="solver_eng">1</definedName>
    <definedName localSheetId="2" name="solver_eng">1</definedName>
    <definedName localSheetId="0" name="solver_neg">1</definedName>
    <definedName localSheetId="1" name="solver_neg">1</definedName>
    <definedName localSheetId="2" name="solver_neg">1</definedName>
    <definedName localSheetId="0" name="solver_num">0</definedName>
    <definedName localSheetId="1" name="solver_num">0</definedName>
    <definedName localSheetId="2" name="solver_num">0</definedName>
    <definedName localSheetId="0" name="solver_typ">1</definedName>
    <definedName localSheetId="1" name="solver_typ">1</definedName>
    <definedName localSheetId="2" name="solver_typ">1</definedName>
    <definedName localSheetId="0" name="solver_val">0</definedName>
    <definedName localSheetId="1" name="solver_val">0</definedName>
    <definedName localSheetId="2" name="solver_val">0</definedName>
    <definedName localSheetId="0" name="solver_ver">3</definedName>
    <definedName localSheetId="1" name="solver_ver">3</definedName>
    <definedName localSheetId="2" name="solver_ver">3</definedName>
    <definedName localSheetId="2" name="solver_opt">'Estimacion05 (Optimista)'!$D$67</definedName>
    <definedName localSheetId="1" name="solver_opt">'Velocidad de equipo Est. 05'!$D$71</definedName>
    <definedName localSheetId="0" name="solver_opt">Estimacion05!$D$71</definedName>
    <definedName localSheetId="3" name="solver_opt">'Estimacion05 (Pesimista)'!$D$68</definedName>
  </definedNames>
  <calcPr/>
  <extLst>
    <ext uri="GoogleSheetsCustomDataVersion2">
      <go:sheetsCustomData xmlns:go="http://customooxmlschemas.google.com/" r:id="rId8" roundtripDataChecksum="rECQO4jl/A7n4xAXGVm8HAfofphmqoUCq2XBT2nTI0k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59">
      <text>
        <t xml:space="preserve">======
ID#AAAA4EXGEY4
Autor    (2023-08-29 20:18:46)
Evalúa si los analistas han sido capaces de mantener estables los requerimientos en el pasado, minimizando los cambios del software.</t>
      </text>
    </comment>
    <comment authorId="0" ref="C15">
      <text>
        <t xml:space="preserve">======
ID#AAAA4EXGEY0
Ejemplo    (2023-08-29 20:18:46)
contar transacciones
Flujo.Ppal.: transacciones 1, 2, 3, 4. 
Flujo Alt.: 0 transaccioines. 
Excepciones.: N/A -&gt; 0 transacciones
-&gt; suma = 4 transacciones</t>
      </text>
    </comment>
    <comment authorId="0" ref="B48">
      <text>
        <t xml:space="preserve">======
ID#AAAA4EXGEYs
Autor    (2023-08-29 20:18:46)
¿Se requiere formación específica para los Usuarios?</t>
      </text>
    </comment>
    <comment authorId="0" ref="B43">
      <text>
        <t xml:space="preserve">======
ID#AAAA4EXGEYw
Autor    (2023-08-29 20:18:46)
¿La aplicación, debe funcionar en más de una plataforma?</t>
      </text>
    </comment>
    <comment authorId="0" ref="B37">
      <text>
        <t xml:space="preserve">======
ID#AAAA4EXGEYo
Autor    (2023-08-29 20:18:46)
¿Cuál es la importancia del tiempo de respuesta de la aplicación para el usuario final?</t>
      </text>
    </comment>
    <comment authorId="0" ref="B80">
      <text>
        <t xml:space="preserve">======
ID#AAAA4EXGEYk
Autor    (2023-08-29 20:18:46)
Análisis/Diseño/Pruebas/Sobrecarga</t>
      </text>
    </comment>
    <comment authorId="0" ref="B44">
      <text>
        <t xml:space="preserve">======
ID#AAAA4EXGEYg
Autor    (2023-08-29 20:18:46)
¿El cliente requiere que la aplicación se pueda cambiar fácilmente en el futuro?</t>
      </text>
    </comment>
    <comment authorId="0" ref="B61">
      <text>
        <t xml:space="preserve">======
ID#AAAA4EXGEYc
Autor    (2023-08-29 20:18:46)
Este es un factor con signo opuesto a los factores E6 y anteriores. Cuanto mayor la evaluación, peor el resultado.</t>
      </text>
    </comment>
    <comment authorId="0" ref="B42">
      <text>
        <t xml:space="preserve">======
ID#AAAA4EXGEYY
Autor    (2023-08-29 20:18:46)
¿Hay requerimientos especiales respecto de la facilidad de uso?</t>
      </text>
    </comment>
    <comment authorId="0" ref="B54">
      <text>
        <t xml:space="preserve">======
ID#AAAA4EXGEYU
Autor    (2023-08-29 20:18:46)
Debe reflejar el hecho de que el equipo conoce el proceso y el lenguaje de modelado (p.ej.: RUP, UML). Puede ser cualquier otro proceso.</t>
      </text>
    </comment>
    <comment authorId="0" ref="B40">
      <text>
        <t xml:space="preserve">======
ID#AAAA4EXGEYQ
Autor    (2023-08-29 20:18:46)
¿La aplicación requiere diseñarse para ser altamente reusable?</t>
      </text>
    </comment>
    <comment authorId="0" ref="B60">
      <text>
        <t xml:space="preserve">======
ID#AAAA4EXGEYM
Autor    (2023-08-29 20:18:46)
Este es un factor con signo opuesto a los factores E6 y anteriores. Cuanto mayor la evaluación, peor el resultado.</t>
      </text>
    </comment>
    <comment authorId="0" ref="C7">
      <text>
        <t xml:space="preserve">======
ID#AAAA4EXGEYI
Autor    (2023-08-29 20:18:46)
Complejo: =3
  - Operador a través de Interfaz Gráfica de Usuario (GUI)
Intermedio: -&gt; 2 
  - Otro sistema a través de un protocolo (TCP/IP, HTTP, SOAP)
  - Operador humano a través de interfaz de comandos de texto (CLI)
Simple: -&gt; 1
  - Otro sistema a través de una Interfaz de Programación de Aplicaciones (API)</t>
      </text>
    </comment>
    <comment authorId="0" ref="B77">
      <text>
        <t xml:space="preserve">======
ID#AAAA4EXGEYE
Autor    (2023-08-29 20:18:46)
Esta distribución es una referencia. Proyecto a proyecto debe actualizarse mediante  ESTADISTICAS.</t>
      </text>
    </comment>
    <comment authorId="0" ref="G71">
      <text>
        <t xml:space="preserve">======
ID#AAAA4EXGEYA
Autor    (2023-08-29 20:18:46)
Este valor lo debe rellenar el propio estimador mediante una medición pequeña que se use como muestra. 
Como valor orientativo
Java15 (07/2020), muy principiante, autodidacta -&gt;2.5hh/AUCP
Es una Estadística que debe actualizarse proyecto a proyecto.</t>
      </text>
    </comment>
    <comment authorId="0" ref="B55">
      <text>
        <t xml:space="preserve">======
ID#AAAA4EXGEX8
Autor    (2023-08-29 20:18:46)
¿Ya trabajado el equipo en el area (dominio) de la aplicación?</t>
      </text>
    </comment>
    <comment authorId="0" ref="B38">
      <text>
        <t xml:space="preserve">======
ID#AAAA4EXGEX4
Autor    (2023-08-29 20:18:46)
¿La aplicacion está diseñada para que el usuario incremente SU eficiencia (no solo cumpla su cometido)?</t>
      </text>
    </comment>
    <comment authorId="0" ref="B56">
      <text>
        <t xml:space="preserve">======
ID#AAAA4EXGEXw
Autor    (2023-08-29 20:18:46)
Se refiere exclusivamente a la experiencia en el análisis, modelado, diseño y progrmación  mediante el paradigma de OO.</t>
      </text>
    </comment>
    <comment authorId="0" ref="B89">
      <text>
        <t xml:space="preserve">======
ID#AAAA4EXGEX0
Autor    (2023-08-29 20:18:46)
Lo debe sugerir el estimador.</t>
      </text>
    </comment>
    <comment authorId="0" ref="B46">
      <text>
        <t xml:space="preserve">======
ID#AAAA4EXGEXs
Autor    (2023-08-29 20:18:46)
¿Es suficiente con las prestaciones de seguridad normales, o hace falta algo especial?</t>
      </text>
    </comment>
    <comment authorId="0" ref="B58">
      <text>
        <t xml:space="preserve">======
ID#AAAA4EXGEXo
Autor    (2023-08-29 20:18:46)
Motivación del equipo.</t>
      </text>
    </comment>
    <comment authorId="0" ref="B47">
      <text>
        <t xml:space="preserve">======
ID#AAAA4EXGEXk
Autor    (2023-08-29 20:18:46)
¿Nuestro código usará componentes COTS, librerías frameworks ya desarrollados? Si así fuera, reducirá la carga de trabajo de desarrollo.</t>
      </text>
    </comment>
    <comment authorId="0" ref="B36">
      <text>
        <t xml:space="preserve">======
ID#AAAA4EXGEXg
Autor    (2023-08-29 20:18:46)
¿Arquitectura centralizada o distribuida?</t>
      </text>
    </comment>
    <comment authorId="0" ref="B45">
      <text>
        <t xml:space="preserve">======
ID#AAAA4EXGEXc
Autor    (2023-08-29 20:18:46)
¿Hace falta consideraciones especiales para el acceso concurrente (paralelo) a datos y otros recursos?</t>
      </text>
    </comment>
    <comment authorId="0" ref="B57">
      <text>
        <t xml:space="preserve">======
ID#AAAA4EXGEXY
Autor    (2023-08-29 20:18:46)
Se refiere a la experiencia en el análisis de requerimientos y modelado orientado a objetos del Analista Principal.</t>
      </text>
    </comment>
    <comment authorId="0" ref="B41">
      <text>
        <t xml:space="preserve">======
ID#AAAA4EXGEXU
Autor    (2023-08-29 20:18:46)
¿La aplicación debe ser de fácil instalación (para usuarios sin capacidad técnica) o no?</t>
      </text>
    </comment>
    <comment authorId="0" ref="B39">
      <text>
        <t xml:space="preserve">======
ID#AAAA4EXGEXQ
Autor    (2023-08-29 20:18:46)
¿La aplicación requiere de algoritmos complejos?</t>
      </text>
    </comment>
    <comment authorId="0" ref="B86">
      <text>
        <t xml:space="preserve">======
ID#AAABtQuPeUs
Autor    (2023-08-29 20:18:46)
Análisis/Diseño/Pruebas/Sobrecarga</t>
      </text>
    </comment>
    <comment authorId="0" ref="B83">
      <text>
        <t xml:space="preserve">======
ID#AAABtQuPeXQ
Autor    (2023-08-29 20:18:46)
Esta distribución es una referencia. Proyecto a proyecto debe actualizarse mediante  ESTADISTICAS.</t>
      </text>
    </comment>
  </commentList>
  <extLst>
    <ext uri="GoogleSheetsCustomDataVersion2">
      <go:sheetsCustomData xmlns:go="http://customooxmlschemas.google.com/" r:id="rId1" roundtripDataSignature="AMtx7mj7esAzD/Q3G9tNzQb18su5seJeFw=="/>
    </ext>
  </extL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73">
      <text>
        <t xml:space="preserve">======
ID#AAABtQuPeV0
Autor    (2023-08-29 20:18:46)
Esta distribución es una referencia. Proyecto a proyecto debe actualizarse mediante  ESTADISTICAS.</t>
      </text>
    </comment>
    <comment authorId="0" ref="B54">
      <text>
        <t xml:space="preserve">======
ID#AAABtQuPeXo
Autor    (2023-08-29 20:18:46)
Motivación del equipo.</t>
      </text>
    </comment>
    <comment authorId="0" ref="B39">
      <text>
        <t xml:space="preserve">======
ID#AAABtQuPeXw
Autor    (2023-08-29 20:18:46)
¿La aplicación, debe funcionar en más de una plataforma?</t>
      </text>
    </comment>
    <comment authorId="0" ref="B50">
      <text>
        <t xml:space="preserve">======
ID#AAABtQuPeUY
Autor    (2023-08-29 20:18:46)
Debe reflejar el hecho de que el equipo conoce el proceso y el lenguaje de modelado (p.ej.: RUP, UML). Puede ser cualquier otro proceso.</t>
      </text>
    </comment>
    <comment authorId="0" ref="B38">
      <text>
        <t xml:space="preserve">======
ID#AAABtQuPeVI
Autor    (2023-08-29 20:18:46)
¿Hay requerimientos especiales respecto de la facilidad de uso?</t>
      </text>
    </comment>
    <comment authorId="0" ref="B44">
      <text>
        <t xml:space="preserve">======
ID#AAABtQuPeVE
Autor    (2023-08-29 20:18:46)
¿Se requiere formación específica para los Usuarios?</t>
      </text>
    </comment>
    <comment authorId="0" ref="B57">
      <text>
        <t xml:space="preserve">======
ID#AAABtQuPeVQ
Autor    (2023-08-29 20:18:46)
Este es un factor con signo opuesto a los factores E6 y anteriores. Cuanto mayor la evaluación, peor el resultado.</t>
      </text>
    </comment>
    <comment authorId="0" ref="B52">
      <text>
        <t xml:space="preserve">======
ID#AAABtQuPeW0
Autor    (2023-08-29 20:18:46)
Se refiere exclusivamente a la experiencia en el análisis, modelado, diseño y progrmación  mediante el paradigma de OO.</t>
      </text>
    </comment>
    <comment authorId="0" ref="B51">
      <text>
        <t xml:space="preserve">======
ID#AAABtQuPeVY
Autor    (2023-08-29 20:18:46)
¿Ya trabajado el equipo en el area (dominio) de la aplicación?</t>
      </text>
    </comment>
    <comment authorId="0" ref="B42">
      <text>
        <t xml:space="preserve">======
ID#AAABtQuPeVc
Autor    (2023-08-29 20:18:46)
¿Es suficiente con las prestaciones de seguridad normales, o hace falta algo especial?</t>
      </text>
    </comment>
    <comment authorId="0" ref="B56">
      <text>
        <t xml:space="preserve">======
ID#AAABtQuPeWQ
Autor    (2023-08-29 20:18:46)
Este es un factor con signo opuesto a los factores E6 y anteriores. Cuanto mayor la evaluación, peor el resultado.</t>
      </text>
    </comment>
    <comment authorId="0" ref="B32">
      <text>
        <t xml:space="preserve">======
ID#AAABtQuPeX0
Autor    (2023-08-29 20:18:46)
¿Arquitectura centralizada o distribuida?</t>
      </text>
    </comment>
    <comment authorId="0" ref="B55">
      <text>
        <t xml:space="preserve">======
ID#AAABtQuPeVo
Autor    (2023-08-29 20:18:46)
Evalúa si los analistas han sido capaces de mantener estables los requerimientos en el pasado, minimizando los cambios del software.</t>
      </text>
    </comment>
    <comment authorId="0" ref="B36">
      <text>
        <t xml:space="preserve">======
ID#AAABtQuPeWM
Autor    (2023-08-29 20:18:46)
¿La aplicación requiere diseñarse para ser altamente reusable?</t>
      </text>
    </comment>
    <comment authorId="0" ref="B79">
      <text>
        <t xml:space="preserve">======
ID#AAABtQuPeVk
Autor    (2023-08-29 20:18:46)
Esta distribución es una referencia. Proyecto a proyecto debe actualizarse mediante  ESTADISTICAS.</t>
      </text>
    </comment>
    <comment authorId="0" ref="B85">
      <text>
        <t xml:space="preserve">======
ID#AAABtQuPeWY
Autor    (2023-08-29 20:18:46)
Lo debe sugerir el estimador.</t>
      </text>
    </comment>
    <comment authorId="0" ref="B82">
      <text>
        <t xml:space="preserve">======
ID#AAABtQuPeWU
Autor    (2023-08-29 20:18:46)
Análisis/Diseño/Pruebas/Sobrecarga</t>
      </text>
    </comment>
    <comment authorId="0" ref="B41">
      <text>
        <t xml:space="preserve">======
ID#AAABtQuPeX4
Autor    (2023-08-29 20:18:46)
¿Hace falta consideraciones especiales para el acceso concurrente (paralelo) a datos y otros recursos?</t>
      </text>
    </comment>
    <comment authorId="0" ref="B76">
      <text>
        <t xml:space="preserve">======
ID#AAABtQuPeVs
Autor    (2023-08-29 20:18:46)
Análisis/Diseño/Pruebas/Sobrecarga</t>
      </text>
    </comment>
    <comment authorId="0" ref="B33">
      <text>
        <t xml:space="preserve">======
ID#AAABtQuPeWg
Autor    (2023-08-29 20:18:46)
¿Cuál es la importancia del tiempo de respuesta de la aplicación para el usuario final?</t>
      </text>
    </comment>
    <comment authorId="0" ref="G67">
      <text>
        <t xml:space="preserve">======
ID#AAABtQuPeXI
Autor    (2023-08-29 20:18:46)
Este valor lo debe rellenar el propio estimador mediante una medición pequeña que se use como muestra. 
Como valor orientativo
Java15 (07/2020), muy principiante, autodidacta -&gt;2.5hh/AUCP
Es una Estadística que debe actualizarse proyecto a proyecto.</t>
      </text>
    </comment>
    <comment authorId="0" ref="C14">
      <text>
        <t xml:space="preserve">======
ID#AAABtQuPeWc
Ejemplo    (2023-08-29 20:18:46)
contar transacciones
Flujo.Ppal.: transacciones 1, 2, 3, 4. 
Flujo Alt.: 0 transaccioines. 
Excepciones.: N/A -&gt; 0 transacciones
-&gt; suma = 4 transacciones</t>
      </text>
    </comment>
    <comment authorId="0" ref="B53">
      <text>
        <t xml:space="preserve">======
ID#AAABtQuPeU0
Autor    (2023-08-29 20:18:46)
Se refiere a la experiencia en el análisis de requerimientos y modelado orientado a objetos del Analista Principal.</t>
      </text>
    </comment>
    <comment authorId="0" ref="C7">
      <text>
        <t xml:space="preserve">======
ID#AAABtQuPeWk
Autor    (2023-08-29 20:18:46)
Complejo: =3
  - Operador a través de Interfaz Gráfica de Usuario (GUI)
Intermedio: -&gt; 2 
  - Otro sistema a través de un protocolo (TCP/IP, HTTP, SOAP)
  - Operador humano a través de interfaz de comandos de texto (CLI)
Simple: -&gt; 1
  - Otro sistema a través de una Interfaz de Programación de Aplicaciones (API)</t>
      </text>
    </comment>
    <comment authorId="0" ref="B34">
      <text>
        <t xml:space="preserve">======
ID#AAABtQuPeU4
Autor    (2023-08-29 20:18:46)
¿La aplicacion está diseñada para que el usuario incremente SU eficiencia (no solo cumpla su cometido)?</t>
      </text>
    </comment>
    <comment authorId="0" ref="B37">
      <text>
        <t xml:space="preserve">======
ID#AAABtQuPeWs
Autor    (2023-08-29 20:18:46)
¿La aplicación debe ser de fácil instalación (para usuarios sin capacidad técnica) o no?</t>
      </text>
    </comment>
    <comment authorId="0" ref="B43">
      <text>
        <t xml:space="preserve">======
ID#AAABtQuPeXU
Autor    (2023-08-29 20:18:46)
¿Nuestro código usará componentes COTS, librerías frameworks ya desarrollados? Si así fuera, reducirá la carga de trabajo de desarrollo.</t>
      </text>
    </comment>
    <comment authorId="0" ref="B40">
      <text>
        <t xml:space="preserve">======
ID#AAABtQuPeXk
Autor    (2023-08-29 20:18:46)
¿El cliente requiere que la aplicación se pueda cambiar fácilmente en el futuro?</t>
      </text>
    </comment>
    <comment authorId="0" ref="B35">
      <text>
        <t xml:space="preserve">======
ID#AAABtQuPeYE
Autor    (2023-08-29 20:18:46)
¿La aplicación requiere de algoritmos complejos?</t>
      </text>
    </comment>
  </commentList>
  <extLst>
    <ext uri="GoogleSheetsCustomDataVersion2">
      <go:sheetsCustomData xmlns:go="http://customooxmlschemas.google.com/" r:id="rId1" roundtripDataSignature="AMtx7mjMLK+Z7O8NhJqdRgWYAaZvVZPxgA=="/>
    </ext>
  </extL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37">
      <text>
        <t xml:space="preserve">======
ID#AAABtQuPeXs
Autor    (2023-08-29 20:18:46)
¿La aplicación requiere diseñarse para ser altamente reusable?</t>
      </text>
    </comment>
    <comment authorId="0" ref="G68">
      <text>
        <t xml:space="preserve">======
ID#AAABtQuPeV8
Autor    (2023-08-29 20:18:46)
Este valor lo debe rellenar el propio estimador mediante una medición pequeña que se use como muestra. 
Como valor orientativo
Java15 (07/2020), muy principiante, autodidacta -&gt;2.5hh/AUCP
Es una Estadística que debe actualizarse proyecto a proyecto.</t>
      </text>
    </comment>
    <comment authorId="0" ref="C7">
      <text>
        <t xml:space="preserve">======
ID#AAABtQuPeV4
Autor    (2023-08-29 20:18:46)
Complejo: =3
  - Operador a través de Interfaz Gráfica de Usuario (GUI)
Intermedio: -&gt; 2 
  - Otro sistema a través de un protocolo (TCP/IP, HTTP, SOAP)
  - Operador humano a través de interfaz de comandos de texto (CLI)
Simple: -&gt; 1
  - Otro sistema a través de una Interfaz de Programación de Aplicaciones (API)</t>
      </text>
    </comment>
    <comment authorId="0" ref="B36">
      <text>
        <t xml:space="preserve">======
ID#AAABtQuPeVA
Autor    (2023-08-29 20:18:46)
¿La aplicación requiere de algoritmos complejos?</t>
      </text>
    </comment>
    <comment authorId="0" ref="B54">
      <text>
        <t xml:space="preserve">======
ID#AAABtQuPeUg
Autor    (2023-08-29 20:18:46)
Se refiere a la experiencia en el análisis de requerimientos y modelado orientado a objetos del Analista Principal.</t>
      </text>
    </comment>
    <comment authorId="0" ref="B34">
      <text>
        <t xml:space="preserve">======
ID#AAABtQuPeUc
Autor    (2023-08-29 20:18:46)
¿Cuál es la importancia del tiempo de respuesta de la aplicación para el usuario final?</t>
      </text>
    </comment>
    <comment authorId="0" ref="B57">
      <text>
        <t xml:space="preserve">======
ID#AAABtQuPeUo
Autor    (2023-08-29 20:18:46)
Este es un factor con signo opuesto a los factores E6 y anteriores. Cuanto mayor la evaluación, peor el resultado.</t>
      </text>
    </comment>
    <comment authorId="0" ref="B41">
      <text>
        <t xml:space="preserve">======
ID#AAABtQuPeUk
Autor    (2023-08-29 20:18:46)
¿El cliente requiere que la aplicación se pueda cambiar fácilmente en el futuro?</t>
      </text>
    </comment>
    <comment authorId="0" ref="B52">
      <text>
        <t xml:space="preserve">======
ID#AAABtQuPeVM
Autor    (2023-08-29 20:18:46)
¿Ya trabajado el equipo en el area (dominio) de la aplicación?</t>
      </text>
    </comment>
    <comment authorId="0" ref="B44">
      <text>
        <t xml:space="preserve">======
ID#AAABtQuPeUw
Autor    (2023-08-29 20:18:46)
¿Nuestro código usará componentes COTS, librerías frameworks ya desarrollados? Si así fuera, reducirá la carga de trabajo de desarrollo.</t>
      </text>
    </comment>
    <comment authorId="0" ref="C15">
      <text>
        <t xml:space="preserve">======
ID#AAABtQuPeW8
Ejemplo    (2023-08-29 20:18:46)
contar transacciones
Flujo.Ppal.: transacciones 1, 2, 3, 4. 
Flujo Alt.: 0 transaccioines. 
Excepciones.: N/A -&gt; 0 transacciones
-&gt; suma = 4 transacciones</t>
      </text>
    </comment>
    <comment authorId="0" ref="B74">
      <text>
        <t xml:space="preserve">======
ID#AAABtQuPeVU
Autor    (2023-08-29 20:18:46)
Esta distribución es una referencia. Proyecto a proyecto debe actualizarse mediante  ESTADISTICAS.</t>
      </text>
    </comment>
    <comment authorId="0" ref="B55">
      <text>
        <t xml:space="preserve">======
ID#AAABtQuPeW4
Autor    (2023-08-29 20:18:46)
Motivación del equipo.</t>
      </text>
    </comment>
    <comment authorId="0" ref="B53">
      <text>
        <t xml:space="preserve">======
ID#AAABtQuPeWA
Autor    (2023-08-29 20:18:46)
Se refiere exclusivamente a la experiencia en el análisis, modelado, diseño y progrmación  mediante el paradigma de OO.</t>
      </text>
    </comment>
    <comment authorId="0" ref="B56">
      <text>
        <t xml:space="preserve">======
ID#AAABtQuPeWI
Autor    (2023-08-29 20:18:46)
Evalúa si los analistas han sido capaces de mantener estables los requerimientos en el pasado, minimizando los cambios del software.</t>
      </text>
    </comment>
    <comment authorId="0" ref="B77">
      <text>
        <t xml:space="preserve">======
ID#AAABtQuPeVg
Autor    (2023-08-29 20:18:46)
Análisis/Diseño/Pruebas/Sobrecarga</t>
      </text>
    </comment>
    <comment authorId="0" ref="B80">
      <text>
        <t xml:space="preserve">======
ID#AAABtQuPeWE
Autor    (2023-08-29 20:18:46)
Esta distribución es una referencia. Proyecto a proyecto debe actualizarse mediante  ESTADISTICAS.</t>
      </text>
    </comment>
    <comment authorId="0" ref="B39">
      <text>
        <t xml:space="preserve">======
ID#AAABtQuPeX8
Autor    (2023-08-29 20:18:46)
¿Hay requerimientos especiales respecto de la facilidad de uso?</t>
      </text>
    </comment>
    <comment authorId="0" ref="B45">
      <text>
        <t xml:space="preserve">======
ID#AAABtQuPeVw
Autor    (2023-08-29 20:18:46)
¿Se requiere formación específica para los Usuarios?</t>
      </text>
    </comment>
    <comment authorId="0" ref="B38">
      <text>
        <t xml:space="preserve">======
ID#AAABtQuPeXA
Autor    (2023-08-29 20:18:46)
¿La aplicación debe ser de fácil instalación (para usuarios sin capacidad técnica) o no?</t>
      </text>
    </comment>
    <comment authorId="0" ref="B86">
      <text>
        <t xml:space="preserve">======
ID#AAABtQuPeXE
Autor    (2023-08-29 20:18:46)
Lo debe sugerir el estimador.</t>
      </text>
    </comment>
    <comment authorId="0" ref="B58">
      <text>
        <t xml:space="preserve">======
ID#AAABtQuPeWo
Autor    (2023-08-29 20:18:46)
Este es un factor con signo opuesto a los factores E6 y anteriores. Cuanto mayor la evaluación, peor el resultado.</t>
      </text>
    </comment>
    <comment authorId="0" ref="B33">
      <text>
        <t xml:space="preserve">======
ID#AAABtQuPeXM
Autor    (2023-08-29 20:18:46)
¿Arquitectura centralizada o distribuida?</t>
      </text>
    </comment>
    <comment authorId="0" ref="B35">
      <text>
        <t xml:space="preserve">======
ID#AAABtQuPeU8
Autor    (2023-08-29 20:18:46)
¿La aplicacion está diseñada para que el usuario incremente SU eficiencia (no solo cumpla su cometido)?</t>
      </text>
    </comment>
    <comment authorId="0" ref="B40">
      <text>
        <t xml:space="preserve">======
ID#AAABtQuPeWw
Autor    (2023-08-29 20:18:46)
¿La aplicación, debe funcionar en más de una plataforma?</t>
      </text>
    </comment>
    <comment authorId="0" ref="B83">
      <text>
        <t xml:space="preserve">======
ID#AAABtQuPeXY
Autor    (2023-08-29 20:18:46)
Análisis/Diseño/Pruebas/Sobrecarga</t>
      </text>
    </comment>
    <comment authorId="0" ref="B51">
      <text>
        <t xml:space="preserve">======
ID#AAABtQuPeXc
Autor    (2023-08-29 20:18:46)
Debe reflejar el hecho de que el equipo conoce el proceso y el lenguaje de modelado (p.ej.: RUP, UML). Puede ser cualquier otro proceso.</t>
      </text>
    </comment>
    <comment authorId="0" ref="B42">
      <text>
        <t xml:space="preserve">======
ID#AAABtQuPeYA
Autor    (2023-08-29 20:18:46)
¿Hace falta consideraciones especiales para el acceso concurrente (paralelo) a datos y otros recursos?</t>
      </text>
    </comment>
    <comment authorId="0" ref="B43">
      <text>
        <t xml:space="preserve">======
ID#AAABtQuPeXg
Autor    (2023-08-29 20:18:46)
¿Es suficiente con las prestaciones de seguridad normales, o hace falta algo especial?</t>
      </text>
    </comment>
  </commentList>
  <extLst>
    <ext uri="GoogleSheetsCustomDataVersion2">
      <go:sheetsCustomData xmlns:go="http://customooxmlschemas.google.com/" r:id="rId1" roundtripDataSignature="AMtx7miP6ZFFP+6EJN+XdSnHKRXWOUv9Rw=="/>
    </ext>
  </extLst>
</comments>
</file>

<file path=xl/sharedStrings.xml><?xml version="1.0" encoding="utf-8"?>
<sst xmlns="http://schemas.openxmlformats.org/spreadsheetml/2006/main" count="689" uniqueCount="173">
  <si>
    <t>ESTIMACIÓN por PUNTOS de CASO de USO</t>
  </si>
  <si>
    <t>Proyecto:</t>
  </si>
  <si>
    <t>Kairos</t>
  </si>
  <si>
    <t>Gestor de Proyecto:</t>
  </si>
  <si>
    <t>Valeria Centurion, Gillermo Escalante, Florencia Mendez, Agustina Maldonado, Gonzalo Ulloa</t>
  </si>
  <si>
    <t>1. PESO DE LOS ACTORES</t>
  </si>
  <si>
    <t>Actor</t>
  </si>
  <si>
    <t>Factor de Peso Actores</t>
  </si>
  <si>
    <t>Descripción</t>
  </si>
  <si>
    <t>Peso</t>
  </si>
  <si>
    <t>Número actores</t>
  </si>
  <si>
    <t>Valor ponderado</t>
  </si>
  <si>
    <t>Líder del Proyecto</t>
  </si>
  <si>
    <t>Complejo</t>
  </si>
  <si>
    <t>Usuario con acceso total al sistema</t>
  </si>
  <si>
    <t>Administrador</t>
  </si>
  <si>
    <t>Usuario con acceso a vistas</t>
  </si>
  <si>
    <t>Miembro</t>
  </si>
  <si>
    <t>Sistema de inicio de sesión que interactua con el sistema</t>
  </si>
  <si>
    <t xml:space="preserve">Peso Total Actores, sin ajustar (UAW) </t>
  </si>
  <si>
    <t>2. PESO DE LOS CU</t>
  </si>
  <si>
    <t>Casos de Uso</t>
  </si>
  <si>
    <t>Comentario</t>
  </si>
  <si>
    <t>Número de transacciones</t>
  </si>
  <si>
    <t>Complejidad</t>
  </si>
  <si>
    <t>CU07: Crear etapa</t>
  </si>
  <si>
    <t>Simple</t>
  </si>
  <si>
    <t>CU23: Registrar usuario a proyecto</t>
  </si>
  <si>
    <t>Intermedio</t>
  </si>
  <si>
    <t>CU##: Gestionar proyectos</t>
  </si>
  <si>
    <t>CU08: Crear iteración</t>
  </si>
  <si>
    <t>CU##: Gestionar tareas</t>
  </si>
  <si>
    <t>CU21: Registrar tiempo manual</t>
  </si>
  <si>
    <t>CU03: Asignar rol</t>
  </si>
  <si>
    <t>CU04: Modificar perfil</t>
  </si>
  <si>
    <t>CU23: Ver reporte</t>
  </si>
  <si>
    <t>CU02: Exportar información</t>
  </si>
  <si>
    <t xml:space="preserve">Peso Total CU, sin ajustar (UUCW) </t>
  </si>
  <si>
    <t>3. PCU SIN AJUSTE</t>
  </si>
  <si>
    <r>
      <rPr>
        <rFont val="Calibri"/>
        <b/>
        <color theme="1"/>
        <sz val="12.0"/>
      </rPr>
      <t xml:space="preserve">Puntos de CU No Ajustados: </t>
    </r>
    <r>
      <rPr>
        <rFont val="Calibri"/>
        <b/>
        <color rgb="FFFF0000"/>
        <sz val="12.0"/>
      </rPr>
      <t>UUCP = UAW + UUCW</t>
    </r>
  </si>
  <si>
    <t>4. COMPLEJIDAD TECNICA</t>
  </si>
  <si>
    <t>Factores de Peso Técnicos</t>
  </si>
  <si>
    <t>Escala de asignación</t>
  </si>
  <si>
    <t>Características especiales</t>
  </si>
  <si>
    <t>Evaluación</t>
  </si>
  <si>
    <t>Impacto</t>
  </si>
  <si>
    <t>Ver 4.2 Use Case Point Analysis e11</t>
  </si>
  <si>
    <t>T1  Sistema Distribuido</t>
  </si>
  <si>
    <t>0=no importante  5=esencial</t>
  </si>
  <si>
    <t>Para nuestro sistema no es importante</t>
  </si>
  <si>
    <t>Object-Oriented Analysis and Design for Information Systems: Modeling with UML, OCL, and IFML</t>
  </si>
  <si>
    <t>T2  Objetivos de Desempeño o Tiempo de Respuesta</t>
  </si>
  <si>
    <t>Si es importante para el funcionamiento del sistema</t>
  </si>
  <si>
    <t>T3  Eficiencia Usuario Final</t>
  </si>
  <si>
    <t>T4  Procesamiento Interno Complejo</t>
  </si>
  <si>
    <t>Se considera de complejidad media</t>
  </si>
  <si>
    <t>T5  Código Debe Ser Reusable</t>
  </si>
  <si>
    <t>No hace falta</t>
  </si>
  <si>
    <t>T6  Facilidad de Instalación</t>
  </si>
  <si>
    <t>Debe ser fácil de instalar</t>
  </si>
  <si>
    <t>T7  Facilidad de Uso</t>
  </si>
  <si>
    <t>Debe ser fácil de usar para el publico dirigido</t>
  </si>
  <si>
    <t>T8  Portabilidad</t>
  </si>
  <si>
    <t>Necesario para que sea compatible en diversas plataformas</t>
  </si>
  <si>
    <t>T9  Facilidad de Cambio</t>
  </si>
  <si>
    <t>Las funcionalidades son volátiles</t>
  </si>
  <si>
    <t>T10 Concurrencia</t>
  </si>
  <si>
    <t>Es multitarea</t>
  </si>
  <si>
    <t>T11 Incluye Características Especiales de Seguridad</t>
  </si>
  <si>
    <t>La autenticación es necesaria</t>
  </si>
  <si>
    <t>T12 Acceso Directo a Código de Terceros</t>
  </si>
  <si>
    <t>Si interactúa con diferentes sistemas</t>
  </si>
  <si>
    <t>T13 Necesidades de formación para los Usuarios</t>
  </si>
  <si>
    <t>Debera tener capacitacion</t>
  </si>
  <si>
    <r>
      <rPr>
        <rFont val="Calibri"/>
        <b/>
        <color theme="1"/>
        <sz val="12.0"/>
      </rPr>
      <t xml:space="preserve">Factores Técnicos: TF = </t>
    </r>
    <r>
      <rPr>
        <rFont val="Calibri"/>
        <b/>
        <color theme="1"/>
        <sz val="12.0"/>
      </rPr>
      <t xml:space="preserve">∑ </t>
    </r>
    <r>
      <rPr>
        <rFont val="Calibri"/>
        <b/>
        <color theme="1"/>
        <sz val="12.0"/>
      </rPr>
      <t xml:space="preserve">(Peso * Evaluacion ) </t>
    </r>
  </si>
  <si>
    <r>
      <rPr>
        <rFont val="Calibri"/>
        <b/>
        <color theme="1"/>
        <sz val="12.0"/>
      </rPr>
      <t xml:space="preserve">Factor de Complejidad Técnica:  </t>
    </r>
    <r>
      <rPr>
        <rFont val="Calibri"/>
        <b/>
        <color rgb="FFFF0000"/>
        <sz val="12.0"/>
      </rPr>
      <t xml:space="preserve">TCF = 0,06 + 0,01*TC </t>
    </r>
  </si>
  <si>
    <t>5. FACTORES DEL ENTORNO</t>
  </si>
  <si>
    <t>Factores de Peso Ambientales del Equipo</t>
  </si>
  <si>
    <t>Escala de 0 a 5</t>
  </si>
  <si>
    <t>Razón</t>
  </si>
  <si>
    <t>Ver 4.2 Use Case Point Analysis e17</t>
  </si>
  <si>
    <t>E1 Familiaridad con un Proceso Definido</t>
  </si>
  <si>
    <t>0 = sin experiencia, 3=media, 5=experto</t>
  </si>
  <si>
    <t>El equipo tiene conocimientos basicos, logicos en este tipos de proyectos</t>
  </si>
  <si>
    <t>1.5</t>
  </si>
  <si>
    <t>4.5</t>
  </si>
  <si>
    <t>E2 Experiencia en el Dominio de Aplicación</t>
  </si>
  <si>
    <t>El equipo de desarrollo está investigando y avanzando en el dominio de aplicación</t>
  </si>
  <si>
    <t>0.5</t>
  </si>
  <si>
    <t>E3 Experiencia en Orientación a Objetos</t>
  </si>
  <si>
    <t>El equipo cuenta con la experiencia en POO</t>
  </si>
  <si>
    <t>E4 Capacidad de Liderazgo del  Analista Principal</t>
  </si>
  <si>
    <t>El equipo cuenta con habilidades basicas de liderazgo</t>
  </si>
  <si>
    <t>E5 Motivación</t>
  </si>
  <si>
    <t>0=sin, 3=media, 5=alta</t>
  </si>
  <si>
    <t>El equipo esta dispuesto</t>
  </si>
  <si>
    <t>E6 Requerimientos Estables</t>
  </si>
  <si>
    <t>0=extremadamente inestable, 5=no cambian</t>
  </si>
  <si>
    <t>Los requerimientos son un poco estables</t>
  </si>
  <si>
    <t>E7 Miembros a Tiempo Parcial</t>
  </si>
  <si>
    <t>0=0% tiempo parcial, 1=h/10% t. parcial, 2=h/20% t. parcial, 3=h/40% t. parcial, 4=h/60% t. parcial, 5= más de 60% t. parcial</t>
  </si>
  <si>
    <t>Todos los miembros trabajaran a tiempo parcial</t>
  </si>
  <si>
    <t>E8 Dificultad con el lenguaje de Programación</t>
  </si>
  <si>
    <t>0=todos miembros muy experimentados. 1= Mayoría +2años experiencia. 2. Todos +18 meses experiencia 3. Mayoría +18 meses experiencia 4. Pocos hasta 1 año experiencia 5. Ninguno experiencia</t>
  </si>
  <si>
    <t>Se empezó a investigar y poner en práctica el framework angular</t>
  </si>
  <si>
    <t xml:space="preserve">Factores Ambientales: EF = ∑ (Peso * Evaluacion ) </t>
  </si>
  <si>
    <r>
      <rPr>
        <rFont val="Calibri"/>
        <b/>
        <color theme="1"/>
        <sz val="12.0"/>
      </rPr>
      <t xml:space="preserve">Factor de Complejidad Ambiental: </t>
    </r>
    <r>
      <rPr>
        <rFont val="Calibri"/>
        <b/>
        <color rgb="FFFF0000"/>
        <sz val="12.0"/>
      </rPr>
      <t>ECF = 1.4 + (-0.03*EF)</t>
    </r>
  </si>
  <si>
    <t>FPA desfavorables</t>
  </si>
  <si>
    <t>6. PCU AJUSTADOS</t>
  </si>
  <si>
    <r>
      <rPr>
        <rFont val="Calibri"/>
        <b/>
        <color theme="1"/>
        <sz val="12.0"/>
      </rPr>
      <t xml:space="preserve">Puntos de Casos de Uso Ajustados: AUCP = </t>
    </r>
    <r>
      <rPr>
        <rFont val="Calibri"/>
        <b/>
        <color rgb="FFFF0000"/>
        <sz val="12.0"/>
      </rPr>
      <t>UUCP * TCF * ECF</t>
    </r>
  </si>
  <si>
    <t>7. ESFUERZO CODIFICACION</t>
  </si>
  <si>
    <t>h-h / AUCP: Karner</t>
  </si>
  <si>
    <t>h-h / AUCP: Schneider &amp; Winters</t>
  </si>
  <si>
    <t>h-h / AUCP: Estadística propia</t>
  </si>
  <si>
    <t>h-h/UCP: Velocidad propia</t>
  </si>
  <si>
    <t>Esfuerzo</t>
  </si>
  <si>
    <t>Esfuerzo (h-h)</t>
  </si>
  <si>
    <t>Dedicación Diaria (hs)</t>
  </si>
  <si>
    <t>Esfuerzo (mes-h)</t>
  </si>
  <si>
    <t>8a. ESFUERZO TOTAL</t>
  </si>
  <si>
    <t>Distribución Esfuerzo por Tarea (expresado en h-h)</t>
  </si>
  <si>
    <t>Actividad</t>
  </si>
  <si>
    <t>Porcentaje</t>
  </si>
  <si>
    <t>Karner
(h-h)</t>
  </si>
  <si>
    <t>Sch&amp;Win
(h-h)</t>
  </si>
  <si>
    <t>Propia
(h-h)</t>
  </si>
  <si>
    <t>Codificación</t>
  </si>
  <si>
    <t>Actividades restantes</t>
  </si>
  <si>
    <t>8b. ESFUERZO TOTAL</t>
  </si>
  <si>
    <t>Distribución Esfuerzo por Tarea (expresado en m-h)</t>
  </si>
  <si>
    <t>Karner
(m-h)</t>
  </si>
  <si>
    <t>Sch&amp;Win
(m-h)</t>
  </si>
  <si>
    <t>Propia
(m-h)</t>
  </si>
  <si>
    <t>9. NUMERO PERSONAS</t>
  </si>
  <si>
    <t>10. DURACION PROYECTO</t>
  </si>
  <si>
    <t>Karner
(m)</t>
  </si>
  <si>
    <t>Sch&amp;Win
(m)</t>
  </si>
  <si>
    <t>Propia
(m)</t>
  </si>
  <si>
    <t>CU01:  Iniciar sesión</t>
  </si>
  <si>
    <t>CU20:Registrar tiempo por cronómetro</t>
  </si>
  <si>
    <r>
      <rPr>
        <rFont val="Calibri"/>
        <b/>
        <color theme="1"/>
        <sz val="12.0"/>
      </rPr>
      <t xml:space="preserve">Puntos de CU No Ajustados: </t>
    </r>
    <r>
      <rPr>
        <rFont val="Calibri"/>
        <b/>
        <color rgb="FFFF0000"/>
        <sz val="12.0"/>
      </rPr>
      <t>UUCP = UAW + UUCW</t>
    </r>
  </si>
  <si>
    <r>
      <rPr>
        <rFont val="Calibri"/>
        <b/>
        <color theme="1"/>
        <sz val="12.0"/>
      </rPr>
      <t xml:space="preserve">Factores Técnicos: TF = </t>
    </r>
    <r>
      <rPr>
        <rFont val="Calibri"/>
        <b/>
        <color theme="1"/>
        <sz val="12.0"/>
      </rPr>
      <t xml:space="preserve">∑ </t>
    </r>
    <r>
      <rPr>
        <rFont val="Calibri"/>
        <b/>
        <color theme="1"/>
        <sz val="12.0"/>
      </rPr>
      <t xml:space="preserve">(Peso * Evaluacion ) </t>
    </r>
  </si>
  <si>
    <r>
      <rPr>
        <rFont val="Calibri"/>
        <b/>
        <color theme="1"/>
        <sz val="12.0"/>
      </rPr>
      <t xml:space="preserve">Factor de Complejidad Técnica:  </t>
    </r>
    <r>
      <rPr>
        <rFont val="Calibri"/>
        <b/>
        <color rgb="FFFF0000"/>
        <sz val="12.0"/>
      </rPr>
      <t xml:space="preserve">TCF = 0,06 + 0,01*TC </t>
    </r>
  </si>
  <si>
    <r>
      <rPr>
        <rFont val="Calibri"/>
        <b/>
        <color theme="1"/>
        <sz val="12.0"/>
      </rPr>
      <t xml:space="preserve">Factor de Complejidad Ambiental: </t>
    </r>
    <r>
      <rPr>
        <rFont val="Calibri"/>
        <b/>
        <color rgb="FFFF0000"/>
        <sz val="12.0"/>
      </rPr>
      <t>ECF = 1.4 + (-0.03*EF)</t>
    </r>
  </si>
  <si>
    <r>
      <rPr>
        <rFont val="Calibri"/>
        <b/>
        <color theme="1"/>
        <sz val="12.0"/>
      </rPr>
      <t xml:space="preserve">Puntos de Casos de Uso Ajustados: AUCP = </t>
    </r>
    <r>
      <rPr>
        <rFont val="Calibri"/>
        <b/>
        <color rgb="FFFF0000"/>
        <sz val="12.0"/>
      </rPr>
      <t>UUCP * TCF * ECF</t>
    </r>
  </si>
  <si>
    <t>67 / 43.1 = 1.55 h-h/UCP</t>
  </si>
  <si>
    <r>
      <rPr>
        <rFont val="Calibri"/>
        <b/>
        <color theme="1"/>
        <sz val="12.0"/>
      </rPr>
      <t xml:space="preserve">Puntos de CU No Ajustados: </t>
    </r>
    <r>
      <rPr>
        <rFont val="Calibri"/>
        <b/>
        <color rgb="FFFF0000"/>
        <sz val="12.0"/>
      </rPr>
      <t>UUCP = UAW + UUCW</t>
    </r>
  </si>
  <si>
    <t>2.5</t>
  </si>
  <si>
    <t>Las funcionalidades son estaticas</t>
  </si>
  <si>
    <r>
      <rPr>
        <rFont val="Calibri"/>
        <b/>
        <color theme="1"/>
        <sz val="12.0"/>
      </rPr>
      <t xml:space="preserve">Factores Técnicos: TF = </t>
    </r>
    <r>
      <rPr>
        <rFont val="Calibri"/>
        <b/>
        <color theme="1"/>
        <sz val="12.0"/>
      </rPr>
      <t xml:space="preserve">∑ </t>
    </r>
    <r>
      <rPr>
        <rFont val="Calibri"/>
        <b/>
        <color theme="1"/>
        <sz val="12.0"/>
      </rPr>
      <t xml:space="preserve">(Peso * Evaluacion ) </t>
    </r>
  </si>
  <si>
    <r>
      <rPr>
        <rFont val="Calibri"/>
        <b/>
        <color theme="1"/>
        <sz val="12.0"/>
      </rPr>
      <t xml:space="preserve">Factor de Complejidad Técnica:  </t>
    </r>
    <r>
      <rPr>
        <rFont val="Calibri"/>
        <b/>
        <color rgb="FFFF0000"/>
        <sz val="12.0"/>
      </rPr>
      <t xml:space="preserve">TCF = 0,06 + 0,01*TC </t>
    </r>
  </si>
  <si>
    <t>El equipo se considera experto en el proceso definido</t>
  </si>
  <si>
    <t>El equipo de desarrollo tiene una experiencia alta en cuanto al Dominio de Aplicación</t>
  </si>
  <si>
    <t>El equipo cuenta con la experiencia en POO elevada</t>
  </si>
  <si>
    <t>El equipo tiene un alto analisis de requerimientos y modelado OO</t>
  </si>
  <si>
    <t>El equipo tiene una motivación alta</t>
  </si>
  <si>
    <t>Los requerimientos son estables</t>
  </si>
  <si>
    <t>Todos los miembros tienen meses de experiencia</t>
  </si>
  <si>
    <r>
      <rPr>
        <rFont val="Calibri"/>
        <b/>
        <color theme="1"/>
        <sz val="12.0"/>
      </rPr>
      <t xml:space="preserve">Factor de Complejidad Ambiental: </t>
    </r>
    <r>
      <rPr>
        <rFont val="Calibri"/>
        <b/>
        <color rgb="FFFF0000"/>
        <sz val="12.0"/>
      </rPr>
      <t>ECF = 1.4 + (-0.03*EF)</t>
    </r>
  </si>
  <si>
    <r>
      <rPr>
        <rFont val="Calibri"/>
        <b/>
        <color theme="1"/>
        <sz val="12.0"/>
      </rPr>
      <t xml:space="preserve">Puntos de Casos de Uso Ajustados: AUCP = </t>
    </r>
    <r>
      <rPr>
        <rFont val="Calibri"/>
        <b/>
        <color rgb="FFFF0000"/>
        <sz val="12.0"/>
      </rPr>
      <t>UUCP * TCF * ECF</t>
    </r>
  </si>
  <si>
    <t>MiProyecto</t>
  </si>
  <si>
    <t>MiNombre</t>
  </si>
  <si>
    <r>
      <rPr>
        <rFont val="Calibri"/>
        <b/>
        <color theme="1"/>
        <sz val="12.0"/>
      </rPr>
      <t xml:space="preserve">Puntos de CU No Ajustados: </t>
    </r>
    <r>
      <rPr>
        <rFont val="Calibri"/>
        <b/>
        <color rgb="FFFF0000"/>
        <sz val="12.0"/>
      </rPr>
      <t>UUCP = UAW + UUCW</t>
    </r>
  </si>
  <si>
    <r>
      <rPr>
        <rFont val="Calibri"/>
        <b/>
        <color theme="1"/>
        <sz val="12.0"/>
      </rPr>
      <t xml:space="preserve">Factores Técnicos: TF = </t>
    </r>
    <r>
      <rPr>
        <rFont val="Calibri"/>
        <b/>
        <color theme="1"/>
        <sz val="12.0"/>
      </rPr>
      <t xml:space="preserve">∑ </t>
    </r>
    <r>
      <rPr>
        <rFont val="Calibri"/>
        <b/>
        <color theme="1"/>
        <sz val="12.0"/>
      </rPr>
      <t xml:space="preserve">(Peso * Evaluacion ) </t>
    </r>
  </si>
  <si>
    <r>
      <rPr>
        <rFont val="Calibri"/>
        <b/>
        <color theme="1"/>
        <sz val="12.0"/>
      </rPr>
      <t xml:space="preserve">Factor de Complejidad Técnica:  </t>
    </r>
    <r>
      <rPr>
        <rFont val="Calibri"/>
        <b/>
        <color rgb="FFFF0000"/>
        <sz val="12.0"/>
      </rPr>
      <t xml:space="preserve">TCF = 0,06 + 0,01*TC </t>
    </r>
  </si>
  <si>
    <t>El equipo cuenta con la experiencia minima</t>
  </si>
  <si>
    <t>El equipo cuenta con la experiencia media</t>
  </si>
  <si>
    <t>El equipo está desmotivado</t>
  </si>
  <si>
    <t>Los requerimientos son algo inestables</t>
  </si>
  <si>
    <t>Los miembros tienen un 40% de tiempo parcial.</t>
  </si>
  <si>
    <t>Ningún miembro cuenta con la experiencia suficiente</t>
  </si>
  <si>
    <r>
      <rPr>
        <rFont val="Calibri"/>
        <b/>
        <color theme="1"/>
        <sz val="12.0"/>
      </rPr>
      <t xml:space="preserve">Factor de Complejidad Ambiental: </t>
    </r>
    <r>
      <rPr>
        <rFont val="Calibri"/>
        <b/>
        <color rgb="FFFF0000"/>
        <sz val="12.0"/>
      </rPr>
      <t>ECF = 1.4 + (-0.03*EF)</t>
    </r>
  </si>
  <si>
    <r>
      <rPr>
        <rFont val="Calibri"/>
        <b/>
        <color theme="1"/>
        <sz val="12.0"/>
      </rPr>
      <t xml:space="preserve">Puntos de Casos de Uso Ajustados: AUCP = </t>
    </r>
    <r>
      <rPr>
        <rFont val="Calibri"/>
        <b/>
        <color rgb="FFFF0000"/>
        <sz val="12.0"/>
      </rPr>
      <t>UUCP * TCF * ECF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</si>
</sst>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0.0"/>
    <numFmt numFmtId="165" formatCode="0.0000"/>
  </numFmts>
  <fonts count="17">
    <font>
      <sz val="10.0"/>
      <color rgb="FF000000"/>
      <name val="Arial"/>
      <scheme val="minor"/>
    </font>
    <font>
      <sz val="12.0"/>
      <color theme="1"/>
      <name val="Calibri"/>
    </font>
    <font>
      <b/>
      <sz val="16.0"/>
      <color theme="1"/>
      <name val="Calibri"/>
    </font>
    <font/>
    <font>
      <b/>
      <sz val="12.0"/>
      <color theme="1"/>
      <name val="Calibri"/>
    </font>
    <font>
      <b/>
      <sz val="12.0"/>
      <color rgb="FF000000"/>
      <name val="Calibri"/>
    </font>
    <font>
      <sz val="12.0"/>
      <color rgb="FF000000"/>
      <name val="Calibri"/>
    </font>
    <font>
      <sz val="10.0"/>
      <color rgb="FF000000"/>
      <name val="Arial"/>
    </font>
    <font>
      <sz val="12.0"/>
      <color rgb="FF3F3F76"/>
      <name val="Calibri"/>
    </font>
    <font>
      <b/>
      <sz val="12.0"/>
      <color rgb="FFFA7D00"/>
      <name val="Calibri"/>
    </font>
    <font>
      <b/>
      <sz val="12.0"/>
      <color rgb="FF3F3F3F"/>
      <name val="Calibri"/>
    </font>
    <font>
      <u/>
      <sz val="10.0"/>
      <color theme="10"/>
      <name val="Arial"/>
    </font>
    <font>
      <b/>
      <sz val="11.0"/>
      <color rgb="FFFA7D00"/>
      <name val="Calibri"/>
    </font>
    <font>
      <b/>
      <sz val="12.0"/>
      <color rgb="FF002060"/>
      <name val="Calibri"/>
    </font>
    <font>
      <b/>
      <sz val="12.0"/>
      <color rgb="FF3F3F76"/>
      <name val="Calibri"/>
    </font>
    <font>
      <color theme="1"/>
      <name val="Arial"/>
    </font>
    <font>
      <u/>
      <sz val="12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D8D8D8"/>
        <bgColor rgb="FFD8D8D8"/>
      </patternFill>
    </fill>
    <fill>
      <patternFill patternType="solid">
        <fgColor rgb="FFFFCC99"/>
        <bgColor rgb="FFFFCC99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theme="0"/>
      </patternFill>
    </fill>
  </fills>
  <borders count="23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CCCCCC"/>
      </bottom>
    </border>
    <border>
      <left style="medium">
        <color rgb="FFCCCCCC"/>
      </left>
      <right style="medium">
        <color rgb="FFCCCCCC"/>
      </right>
      <top style="medium">
        <color rgb="FF000000"/>
      </top>
      <bottom style="medium">
        <color rgb="FFCCCCCC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CCCCCC"/>
      </bottom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3F3F3F"/>
      </left>
      <right style="thin">
        <color rgb="FF3F3F3F"/>
      </right>
      <top/>
      <bottom style="thin">
        <color rgb="FF3F3F3F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10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center" wrapText="1"/>
    </xf>
    <xf borderId="0" fillId="0" fontId="1" numFmtId="49" xfId="0" applyAlignment="1" applyFont="1" applyNumberFormat="1">
      <alignment shrinkToFit="0" vertical="center" wrapText="1"/>
    </xf>
    <xf borderId="0" fillId="0" fontId="1" numFmtId="0" xfId="0" applyAlignment="1" applyFont="1">
      <alignment horizontal="right" shrinkToFit="0" vertical="center" wrapText="1"/>
    </xf>
    <xf borderId="0" fillId="0" fontId="1" numFmtId="0" xfId="0" applyAlignment="1" applyFont="1">
      <alignment vertical="center"/>
    </xf>
    <xf borderId="1" fillId="0" fontId="2" numFmtId="0" xfId="0" applyAlignment="1" applyBorder="1" applyFont="1">
      <alignment horizontal="center" vertical="center"/>
    </xf>
    <xf borderId="2" fillId="0" fontId="3" numFmtId="0" xfId="0" applyBorder="1" applyFont="1"/>
    <xf borderId="3" fillId="0" fontId="3" numFmtId="0" xfId="0" applyBorder="1" applyFont="1"/>
    <xf borderId="0" fillId="0" fontId="4" numFmtId="0" xfId="0" applyAlignment="1" applyFont="1">
      <alignment horizontal="left" vertical="center"/>
    </xf>
    <xf borderId="4" fillId="0" fontId="5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7" numFmtId="0" xfId="0" applyAlignment="1" applyBorder="1" applyFont="1">
      <alignment shrinkToFit="0" vertical="center" wrapText="1"/>
    </xf>
    <xf borderId="6" fillId="0" fontId="7" numFmtId="0" xfId="0" applyAlignment="1" applyBorder="1" applyFont="1">
      <alignment shrinkToFit="0" vertical="center" wrapText="1"/>
    </xf>
    <xf borderId="0" fillId="0" fontId="4" numFmtId="0" xfId="0" applyAlignment="1" applyFont="1">
      <alignment horizontal="center" vertical="center"/>
    </xf>
    <xf borderId="7" fillId="0" fontId="5" numFmtId="0" xfId="0" applyAlignment="1" applyBorder="1" applyFont="1">
      <alignment shrinkToFit="0" vertical="center" wrapText="1"/>
    </xf>
    <xf borderId="8" fillId="0" fontId="6" numFmtId="0" xfId="0" applyAlignment="1" applyBorder="1" applyFont="1">
      <alignment vertical="center"/>
    </xf>
    <xf borderId="8" fillId="0" fontId="7" numFmtId="0" xfId="0" applyAlignment="1" applyBorder="1" applyFont="1">
      <alignment shrinkToFit="0" vertical="center" wrapText="1"/>
    </xf>
    <xf borderId="9" fillId="0" fontId="7" numFmtId="0" xfId="0" applyAlignment="1" applyBorder="1" applyFont="1">
      <alignment shrinkToFit="0" vertical="center" wrapText="1"/>
    </xf>
    <xf borderId="0" fillId="0" fontId="4" numFmtId="0" xfId="0" applyAlignment="1" applyFont="1">
      <alignment horizontal="left" shrinkToFit="0" vertical="center" wrapText="1"/>
    </xf>
    <xf borderId="0" fillId="0" fontId="4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0" fillId="2" fontId="4" numFmtId="0" xfId="0" applyAlignment="1" applyBorder="1" applyFill="1" applyFont="1">
      <alignment horizontal="center" shrinkToFit="0" vertical="center" wrapText="1"/>
    </xf>
    <xf borderId="10" fillId="2" fontId="4" numFmtId="49" xfId="0" applyAlignment="1" applyBorder="1" applyFont="1" applyNumberFormat="1">
      <alignment horizontal="center" shrinkToFit="0" vertical="center" wrapText="1"/>
    </xf>
    <xf borderId="11" fillId="3" fontId="8" numFmtId="0" xfId="0" applyAlignment="1" applyBorder="1" applyFill="1" applyFont="1">
      <alignment shrinkToFit="0" vertical="center" wrapText="1"/>
    </xf>
    <xf borderId="12" fillId="3" fontId="8" numFmtId="0" xfId="0" applyAlignment="1" applyBorder="1" applyFont="1">
      <alignment shrinkToFit="0" vertical="center" wrapText="1"/>
    </xf>
    <xf borderId="12" fillId="4" fontId="9" numFmtId="0" xfId="0" applyAlignment="1" applyBorder="1" applyFill="1" applyFont="1">
      <alignment horizontal="center" shrinkToFit="0" vertical="center" wrapText="1"/>
    </xf>
    <xf borderId="12" fillId="3" fontId="8" numFmtId="0" xfId="0" applyAlignment="1" applyBorder="1" applyFont="1">
      <alignment horizontal="center" shrinkToFit="0" vertical="center" wrapText="1"/>
    </xf>
    <xf borderId="13" fillId="3" fontId="8" numFmtId="0" xfId="0" applyAlignment="1" applyBorder="1" applyFont="1">
      <alignment shrinkToFit="0" vertical="center" wrapText="1"/>
    </xf>
    <xf borderId="9" fillId="3" fontId="8" numFmtId="0" xfId="0" applyAlignment="1" applyBorder="1" applyFont="1">
      <alignment shrinkToFit="0" vertical="center" wrapText="1"/>
    </xf>
    <xf borderId="9" fillId="4" fontId="9" numFmtId="0" xfId="0" applyAlignment="1" applyBorder="1" applyFont="1">
      <alignment horizontal="center" shrinkToFit="0" vertical="center" wrapText="1"/>
    </xf>
    <xf borderId="9" fillId="3" fontId="8" numFmtId="0" xfId="0" applyAlignment="1" applyBorder="1" applyFont="1">
      <alignment horizontal="center" shrinkToFit="0" vertical="center" wrapText="1"/>
    </xf>
    <xf borderId="10" fillId="0" fontId="4" numFmtId="0" xfId="0" applyAlignment="1" applyBorder="1" applyFont="1">
      <alignment shrinkToFit="0" vertical="center" wrapText="1"/>
    </xf>
    <xf borderId="1" fillId="0" fontId="4" numFmtId="49" xfId="0" applyAlignment="1" applyBorder="1" applyFont="1" applyNumberFormat="1">
      <alignment horizontal="right" shrinkToFit="0" vertical="center" wrapText="1"/>
    </xf>
    <xf borderId="10" fillId="4" fontId="10" numFmtId="0" xfId="0" applyAlignment="1" applyBorder="1" applyFont="1">
      <alignment horizontal="center" shrinkToFit="0" vertical="center" wrapText="1"/>
    </xf>
    <xf borderId="0" fillId="0" fontId="4" numFmtId="49" xfId="0" applyAlignment="1" applyFont="1" applyNumberFormat="1">
      <alignment horizontal="right" shrinkToFit="0" vertical="center" wrapText="1"/>
    </xf>
    <xf borderId="0" fillId="0" fontId="10" numFmtId="0" xfId="0" applyAlignment="1" applyFont="1">
      <alignment horizontal="center" shrinkToFit="0" vertical="center" wrapText="1"/>
    </xf>
    <xf borderId="0" fillId="0" fontId="4" numFmtId="49" xfId="0" applyAlignment="1" applyFont="1" applyNumberFormat="1">
      <alignment shrinkToFit="0" vertical="center" wrapText="1"/>
    </xf>
    <xf borderId="0" fillId="0" fontId="4" numFmtId="0" xfId="0" applyAlignment="1" applyFont="1">
      <alignment horizontal="right" shrinkToFit="0" vertical="center" wrapText="1"/>
    </xf>
    <xf borderId="0" fillId="0" fontId="4" numFmtId="49" xfId="0" applyAlignment="1" applyFont="1" applyNumberFormat="1">
      <alignment vertical="center"/>
    </xf>
    <xf borderId="11" fillId="3" fontId="8" numFmtId="0" xfId="0" applyAlignment="1" applyBorder="1" applyFont="1">
      <alignment shrinkToFit="0" wrapText="1"/>
    </xf>
    <xf borderId="12" fillId="3" fontId="7" numFmtId="0" xfId="0" applyAlignment="1" applyBorder="1" applyFont="1">
      <alignment shrinkToFit="0" wrapText="1"/>
    </xf>
    <xf borderId="12" fillId="3" fontId="8" numFmtId="0" xfId="0" applyAlignment="1" applyBorder="1" applyFont="1">
      <alignment horizontal="center" shrinkToFit="0" wrapText="1"/>
    </xf>
    <xf borderId="12" fillId="4" fontId="9" numFmtId="0" xfId="0" applyAlignment="1" applyBorder="1" applyFont="1">
      <alignment horizontal="center" shrinkToFit="0" wrapText="1"/>
    </xf>
    <xf borderId="13" fillId="3" fontId="8" numFmtId="0" xfId="0" applyAlignment="1" applyBorder="1" applyFont="1">
      <alignment shrinkToFit="0" wrapText="1"/>
    </xf>
    <xf borderId="9" fillId="3" fontId="7" numFmtId="0" xfId="0" applyAlignment="1" applyBorder="1" applyFont="1">
      <alignment shrinkToFit="0" wrapText="1"/>
    </xf>
    <xf borderId="9" fillId="3" fontId="8" numFmtId="0" xfId="0" applyAlignment="1" applyBorder="1" applyFont="1">
      <alignment horizontal="center" shrinkToFit="0" wrapText="1"/>
    </xf>
    <xf borderId="9" fillId="4" fontId="9" numFmtId="0" xfId="0" applyAlignment="1" applyBorder="1" applyFont="1">
      <alignment horizontal="center" shrinkToFit="0" wrapText="1"/>
    </xf>
    <xf borderId="9" fillId="3" fontId="8" numFmtId="0" xfId="0" applyAlignment="1" applyBorder="1" applyFont="1">
      <alignment horizontal="center" readingOrder="0" shrinkToFit="0" wrapText="1"/>
    </xf>
    <xf borderId="9" fillId="3" fontId="7" numFmtId="0" xfId="0" applyAlignment="1" applyBorder="1" applyFont="1">
      <alignment shrinkToFit="0" vertical="center" wrapText="1"/>
    </xf>
    <xf borderId="14" fillId="0" fontId="4" numFmtId="0" xfId="0" applyAlignment="1" applyBorder="1" applyFont="1">
      <alignment shrinkToFit="0" vertical="center" wrapText="1"/>
    </xf>
    <xf borderId="15" fillId="0" fontId="4" numFmtId="49" xfId="0" applyAlignment="1" applyBorder="1" applyFont="1" applyNumberFormat="1">
      <alignment horizontal="right" shrinkToFit="0" vertical="center" wrapText="1"/>
    </xf>
    <xf borderId="16" fillId="0" fontId="3" numFmtId="0" xfId="0" applyBorder="1" applyFont="1"/>
    <xf borderId="17" fillId="0" fontId="3" numFmtId="0" xfId="0" applyBorder="1" applyFont="1"/>
    <xf borderId="18" fillId="4" fontId="10" numFmtId="0" xfId="0" applyAlignment="1" applyBorder="1" applyFont="1">
      <alignment horizontal="center" shrinkToFit="0" vertical="center" wrapText="1"/>
    </xf>
    <xf borderId="10" fillId="2" fontId="4" numFmtId="0" xfId="0" applyAlignment="1" applyBorder="1" applyFont="1">
      <alignment shrinkToFit="0" vertical="center" wrapText="1"/>
    </xf>
    <xf borderId="10" fillId="0" fontId="1" numFmtId="49" xfId="0" applyAlignment="1" applyBorder="1" applyFont="1" applyNumberFormat="1">
      <alignment shrinkToFit="0" vertical="center" wrapText="1"/>
    </xf>
    <xf borderId="12" fillId="4" fontId="6" numFmtId="0" xfId="0" applyAlignment="1" applyBorder="1" applyFont="1">
      <alignment horizontal="center" shrinkToFit="0" vertical="center" wrapText="1"/>
    </xf>
    <xf borderId="0" fillId="0" fontId="11" numFmtId="0" xfId="0" applyAlignment="1" applyFont="1">
      <alignment shrinkToFit="0" vertical="top" wrapText="1"/>
    </xf>
    <xf borderId="9" fillId="4" fontId="6" numFmtId="0" xfId="0" applyAlignment="1" applyBorder="1" applyFont="1">
      <alignment horizontal="center" shrinkToFit="0" vertical="center" wrapText="1"/>
    </xf>
    <xf borderId="13" fillId="3" fontId="7" numFmtId="0" xfId="0" applyAlignment="1" applyBorder="1" applyFont="1">
      <alignment shrinkToFit="0" vertical="center" wrapText="1"/>
    </xf>
    <xf borderId="10" fillId="4" fontId="12" numFmtId="0" xfId="0" applyAlignment="1" applyBorder="1" applyFont="1">
      <alignment horizontal="center" shrinkToFit="0" vertical="center" wrapText="1"/>
    </xf>
    <xf borderId="0" fillId="0" fontId="1" numFmtId="0" xfId="0" applyAlignment="1" applyFont="1">
      <alignment horizontal="center" shrinkToFit="0" vertical="center" wrapText="1"/>
    </xf>
    <xf borderId="0" fillId="0" fontId="1" numFmtId="49" xfId="0" applyAlignment="1" applyFont="1" applyNumberFormat="1">
      <alignment horizontal="center" shrinkToFit="0" vertical="center" wrapText="1"/>
    </xf>
    <xf borderId="10" fillId="0" fontId="1" numFmtId="0" xfId="0" applyAlignment="1" applyBorder="1" applyFont="1">
      <alignment shrinkToFit="0" vertical="center" wrapText="1"/>
    </xf>
    <xf borderId="2" fillId="0" fontId="1" numFmtId="0" xfId="0" applyAlignment="1" applyBorder="1" applyFont="1">
      <alignment horizontal="right" shrinkToFit="0" vertical="center" wrapText="1"/>
    </xf>
    <xf borderId="2" fillId="0" fontId="1" numFmtId="49" xfId="0" applyAlignment="1" applyBorder="1" applyFont="1" applyNumberFormat="1">
      <alignment shrinkToFit="0" vertical="center" wrapText="1"/>
    </xf>
    <xf borderId="2" fillId="0" fontId="4" numFmtId="0" xfId="0" applyAlignment="1" applyBorder="1" applyFont="1">
      <alignment horizontal="right" vertical="center"/>
    </xf>
    <xf borderId="1" fillId="0" fontId="4" numFmtId="0" xfId="0" applyAlignment="1" applyBorder="1" applyFont="1">
      <alignment horizontal="right" shrinkToFit="0" vertical="center" wrapText="1"/>
    </xf>
    <xf borderId="10" fillId="2" fontId="4" numFmtId="164" xfId="0" applyAlignment="1" applyBorder="1" applyFont="1" applyNumberFormat="1">
      <alignment horizontal="center" shrinkToFit="0" vertical="center" wrapText="1"/>
    </xf>
    <xf borderId="19" fillId="5" fontId="13" numFmtId="0" xfId="0" applyAlignment="1" applyBorder="1" applyFill="1" applyFont="1">
      <alignment shrinkToFit="0" vertical="center" wrapText="1"/>
    </xf>
    <xf borderId="10" fillId="2" fontId="1" numFmtId="164" xfId="0" applyAlignment="1" applyBorder="1" applyFont="1" applyNumberFormat="1">
      <alignment horizontal="center" vertical="center"/>
    </xf>
    <xf borderId="10" fillId="2" fontId="1" numFmtId="2" xfId="0" applyAlignment="1" applyBorder="1" applyFont="1" applyNumberFormat="1">
      <alignment horizontal="center" vertical="center"/>
    </xf>
    <xf borderId="10" fillId="3" fontId="8" numFmtId="164" xfId="0" applyAlignment="1" applyBorder="1" applyFont="1" applyNumberFormat="1">
      <alignment horizontal="center" shrinkToFit="0" vertical="center" wrapText="1"/>
    </xf>
    <xf borderId="1" fillId="2" fontId="4" numFmtId="49" xfId="0" applyAlignment="1" applyBorder="1" applyFont="1" applyNumberFormat="1">
      <alignment horizontal="center" shrinkToFit="0" vertical="center" wrapText="1"/>
    </xf>
    <xf borderId="1" fillId="0" fontId="1" numFmtId="0" xfId="0" applyAlignment="1" applyBorder="1" applyFont="1">
      <alignment vertical="center"/>
    </xf>
    <xf borderId="10" fillId="2" fontId="4" numFmtId="164" xfId="0" applyAlignment="1" applyBorder="1" applyFont="1" applyNumberFormat="1">
      <alignment horizontal="center" vertical="center"/>
    </xf>
    <xf borderId="10" fillId="2" fontId="4" numFmtId="165" xfId="0" applyAlignment="1" applyBorder="1" applyFont="1" applyNumberFormat="1">
      <alignment horizontal="center" vertical="center"/>
    </xf>
    <xf borderId="1" fillId="0" fontId="1" numFmtId="0" xfId="0" applyAlignment="1" applyBorder="1" applyFont="1">
      <alignment shrinkToFit="0" vertical="center" wrapText="1"/>
    </xf>
    <xf borderId="2" fillId="0" fontId="1" numFmtId="0" xfId="0" applyAlignment="1" applyBorder="1" applyFont="1">
      <alignment shrinkToFit="0" vertical="center" wrapText="1"/>
    </xf>
    <xf borderId="3" fillId="0" fontId="1" numFmtId="0" xfId="0" applyAlignment="1" applyBorder="1" applyFont="1">
      <alignment shrinkToFit="0" vertical="center" wrapText="1"/>
    </xf>
    <xf borderId="10" fillId="2" fontId="1" numFmtId="0" xfId="0" applyAlignment="1" applyBorder="1" applyFont="1">
      <alignment horizontal="left" shrinkToFit="0" vertical="center" wrapText="1"/>
    </xf>
    <xf borderId="10" fillId="3" fontId="14" numFmtId="9" xfId="0" applyAlignment="1" applyBorder="1" applyFont="1" applyNumberFormat="1">
      <alignment horizontal="center" shrinkToFit="0" vertical="center" wrapText="1"/>
    </xf>
    <xf borderId="10" fillId="2" fontId="1" numFmtId="0" xfId="0" applyAlignment="1" applyBorder="1" applyFont="1">
      <alignment shrinkToFit="0" vertical="center" wrapText="1"/>
    </xf>
    <xf borderId="10" fillId="3" fontId="8" numFmtId="0" xfId="0" applyAlignment="1" applyBorder="1" applyFont="1">
      <alignment horizontal="center" shrinkToFit="0" vertical="center" wrapText="1"/>
    </xf>
    <xf borderId="0" fillId="0" fontId="1" numFmtId="2" xfId="0" applyAlignment="1" applyFont="1" applyNumberFormat="1">
      <alignment shrinkToFit="0" vertical="center" wrapText="1"/>
    </xf>
    <xf borderId="10" fillId="0" fontId="1" numFmtId="164" xfId="0" applyAlignment="1" applyBorder="1" applyFont="1" applyNumberFormat="1">
      <alignment horizontal="center" shrinkToFit="0" vertical="center" wrapText="1"/>
    </xf>
    <xf borderId="0" fillId="0" fontId="1" numFmtId="2" xfId="0" applyAlignment="1" applyFont="1" applyNumberFormat="1">
      <alignment horizontal="right" shrinkToFit="0" vertical="center" wrapText="1"/>
    </xf>
    <xf borderId="10" fillId="3" fontId="8" numFmtId="0" xfId="0" applyBorder="1" applyFont="1"/>
    <xf borderId="10" fillId="3" fontId="15" numFmtId="0" xfId="0" applyBorder="1" applyFont="1"/>
    <xf borderId="10" fillId="3" fontId="8" numFmtId="0" xfId="0" applyAlignment="1" applyBorder="1" applyFont="1">
      <alignment horizontal="center"/>
    </xf>
    <xf borderId="10" fillId="4" fontId="9" numFmtId="0" xfId="0" applyAlignment="1" applyBorder="1" applyFont="1">
      <alignment horizontal="center" shrinkToFit="0" wrapText="1"/>
    </xf>
    <xf borderId="20" fillId="3" fontId="15" numFmtId="0" xfId="0" applyBorder="1" applyFont="1"/>
    <xf borderId="20" fillId="3" fontId="8" numFmtId="0" xfId="0" applyAlignment="1" applyBorder="1" applyFont="1">
      <alignment horizontal="center"/>
    </xf>
    <xf borderId="10" fillId="4" fontId="9" numFmtId="0" xfId="0" applyAlignment="1" applyBorder="1" applyFont="1">
      <alignment horizontal="center" readingOrder="0" shrinkToFit="0" wrapText="1"/>
    </xf>
    <xf borderId="0" fillId="0" fontId="1" numFmtId="0" xfId="0" applyAlignment="1" applyFont="1">
      <alignment readingOrder="0" shrinkToFit="0" vertical="center" wrapText="1"/>
    </xf>
    <xf borderId="21" fillId="0" fontId="4" numFmtId="0" xfId="0" applyAlignment="1" applyBorder="1" applyFont="1">
      <alignment horizontal="left" vertical="center"/>
    </xf>
    <xf borderId="22" fillId="0" fontId="4" numFmtId="0" xfId="0" applyAlignment="1" applyBorder="1" applyFont="1">
      <alignment horizontal="center" vertical="center"/>
    </xf>
    <xf borderId="15" fillId="0" fontId="4" numFmtId="0" xfId="0" applyAlignment="1" applyBorder="1" applyFont="1">
      <alignment horizontal="left" vertical="center"/>
    </xf>
    <xf borderId="16" fillId="0" fontId="1" numFmtId="0" xfId="0" applyAlignment="1" applyBorder="1" applyFont="1">
      <alignment vertical="center"/>
    </xf>
    <xf borderId="16" fillId="0" fontId="4" numFmtId="0" xfId="0" applyAlignment="1" applyBorder="1" applyFont="1">
      <alignment horizontal="center" vertical="center"/>
    </xf>
    <xf borderId="17" fillId="0" fontId="4" numFmtId="0" xfId="0" applyAlignment="1" applyBorder="1" applyFont="1">
      <alignment horizontal="center" vertical="center"/>
    </xf>
    <xf borderId="0" fillId="0" fontId="16" numFmtId="0" xfId="0" applyAlignment="1" applyFont="1">
      <alignment shrinkToFit="0" vertical="center" wrapText="1"/>
    </xf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<Relationships xmlns="http://schemas.openxmlformats.org/package/2006/relationships"><Relationship Id="rId1" Type="http://customschemas.google.com/relationships/workbookmetadata" Target="commentsmeta1"/></Relationships>
</file>

<file path=xl/_rels/comments3.xml.rels><?xml version="1.0" encoding="UTF-8" standalone="yes"?><Relationships xmlns="http://schemas.openxmlformats.org/package/2006/relationships"><Relationship Id="rId1" Type="http://customschemas.google.com/relationships/workbookmetadata" Target="commentsmeta2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books.google.es/books?id=fCRCAgAAQBAJ&amp;pg=SL5-PA21&amp;lpg=SL5-PA21&amp;dq=e7+part-time+members&amp;source=bl&amp;ots=axt2kcgaRB&amp;sig=oTuGqYOrGRKLHV8dIJGh1OuVAS0&amp;hl=es&amp;sa=X&amp;ved=0ahUKEwj187-GzYvTAhWGj5AKHYP_AqcQ6AEIODAE" TargetMode="External"/><Relationship Id="rId3" Type="http://schemas.openxmlformats.org/officeDocument/2006/relationships/hyperlink" Target="https://books.google.es/books?id=fCRCAgAAQBAJ&amp;pg=SL5-PA21&amp;lpg=SL5-PA21&amp;dq=e7+part-time+members&amp;source=bl&amp;ots=axt2kcgaRB&amp;sig=oTuGqYOrGRKLHV8dIJGh1OuVAS0&amp;hl=es&amp;sa=X&amp;ved=0ahUKEwj187-GzYvTAhWGj5AKHYP_AqcQ6AEIODAE" TargetMode="Externa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books.google.es/books?id=fCRCAgAAQBAJ&amp;pg=SL5-PA21&amp;lpg=SL5-PA21&amp;dq=e7+part-time+members&amp;source=bl&amp;ots=axt2kcgaRB&amp;sig=oTuGqYOrGRKLHV8dIJGh1OuVAS0&amp;hl=es&amp;sa=X&amp;ved=0ahUKEwj187-GzYvTAhWGj5AKHYP_AqcQ6AEIODAE" TargetMode="External"/><Relationship Id="rId2" Type="http://schemas.openxmlformats.org/officeDocument/2006/relationships/hyperlink" Target="https://books.google.es/books?id=fCRCAgAAQBAJ&amp;pg=SL5-PA21&amp;lpg=SL5-PA21&amp;dq=e7+part-time+members&amp;source=bl&amp;ots=axt2kcgaRB&amp;sig=oTuGqYOrGRKLHV8dIJGh1OuVAS0&amp;hl=es&amp;sa=X&amp;ved=0ahUKEwj187-GzYvTAhWGj5AKHYP_AqcQ6AEIODAE" TargetMode="External"/><Relationship Id="rId3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hyperlink" Target="https://books.google.es/books?id=fCRCAgAAQBAJ&amp;pg=SL5-PA21&amp;lpg=SL5-PA21&amp;dq=e7+part-time+members&amp;source=bl&amp;ots=axt2kcgaRB&amp;sig=oTuGqYOrGRKLHV8dIJGh1OuVAS0&amp;hl=es&amp;sa=X&amp;ved=0ahUKEwj187-GzYvTAhWGj5AKHYP_AqcQ6AEIODAE" TargetMode="External"/><Relationship Id="rId3" Type="http://schemas.openxmlformats.org/officeDocument/2006/relationships/hyperlink" Target="https://books.google.es/books?id=fCRCAgAAQBAJ&amp;pg=SL5-PA21&amp;lpg=SL5-PA21&amp;dq=e7+part-time+members&amp;source=bl&amp;ots=axt2kcgaRB&amp;sig=oTuGqYOrGRKLHV8dIJGh1OuVAS0&amp;hl=es&amp;sa=X&amp;ved=0ahUKEwj187-GzYvTAhWGj5AKHYP_AqcQ6AEIODAE" TargetMode="External"/><Relationship Id="rId4" Type="http://schemas.openxmlformats.org/officeDocument/2006/relationships/drawing" Target="../drawings/drawing3.xml"/><Relationship Id="rId5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hyperlink" Target="https://books.google.es/books?id=fCRCAgAAQBAJ&amp;pg=SL5-PA21&amp;lpg=SL5-PA21&amp;dq=e7+part-time+members&amp;source=bl&amp;ots=axt2kcgaRB&amp;sig=oTuGqYOrGRKLHV8dIJGh1OuVAS0&amp;hl=es&amp;sa=X&amp;ved=0ahUKEwj187-GzYvTAhWGj5AKHYP_AqcQ6AEIODAE" TargetMode="External"/><Relationship Id="rId3" Type="http://schemas.openxmlformats.org/officeDocument/2006/relationships/hyperlink" Target="https://books.google.es/books?id=fCRCAgAAQBAJ&amp;pg=SL5-PA21&amp;lpg=SL5-PA21&amp;dq=e7+part-time+members&amp;source=bl&amp;ots=axt2kcgaRB&amp;sig=oTuGqYOrGRKLHV8dIJGh1OuVAS0&amp;hl=es&amp;sa=X&amp;ved=0ahUKEwj187-GzYvTAhWGj5AKHYP_AqcQ6AEIODAE" TargetMode="External"/><Relationship Id="rId4" Type="http://schemas.openxmlformats.org/officeDocument/2006/relationships/drawing" Target="../drawings/drawing4.xml"/><Relationship Id="rId5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7.75"/>
    <col customWidth="1" min="2" max="2" width="32.13"/>
    <col customWidth="1" min="3" max="3" width="33.38"/>
    <col customWidth="1" min="4" max="4" width="38.63"/>
    <col customWidth="1" min="5" max="5" width="13.63"/>
    <col customWidth="1" min="6" max="6" width="16.13"/>
    <col customWidth="1" min="7" max="7" width="16.75"/>
    <col customWidth="1" min="8" max="8" width="34.38"/>
    <col customWidth="1" min="9" max="9" width="10.63"/>
    <col customWidth="1" min="10" max="10" width="13.75"/>
    <col customWidth="1" min="11" max="26" width="9.13"/>
  </cols>
  <sheetData>
    <row r="1" ht="27.75" customHeight="1">
      <c r="A1" s="1"/>
      <c r="B1" s="1"/>
      <c r="C1" s="1"/>
      <c r="D1" s="2"/>
      <c r="E1" s="3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7.75" customHeight="1">
      <c r="A2" s="4"/>
      <c r="B2" s="5" t="s">
        <v>0</v>
      </c>
      <c r="C2" s="6"/>
      <c r="D2" s="6"/>
      <c r="E2" s="6"/>
      <c r="F2" s="6"/>
      <c r="G2" s="7"/>
      <c r="H2" s="8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7.75" customHeight="1">
      <c r="A3" s="4"/>
      <c r="B3" s="9" t="s">
        <v>1</v>
      </c>
      <c r="C3" s="10" t="s">
        <v>2</v>
      </c>
      <c r="D3" s="11"/>
      <c r="E3" s="11"/>
      <c r="F3" s="11"/>
      <c r="G3" s="12"/>
      <c r="H3" s="13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7.75" customHeight="1">
      <c r="A4" s="4"/>
      <c r="B4" s="14" t="s">
        <v>3</v>
      </c>
      <c r="C4" s="15" t="s">
        <v>4</v>
      </c>
      <c r="D4" s="16"/>
      <c r="E4" s="16"/>
      <c r="F4" s="16"/>
      <c r="G4" s="17"/>
      <c r="H4" s="13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7.75" customHeight="1">
      <c r="A5" s="1"/>
      <c r="B5" s="18"/>
      <c r="C5" s="1"/>
      <c r="D5" s="19"/>
      <c r="E5" s="19"/>
      <c r="F5" s="19"/>
      <c r="G5" s="19"/>
      <c r="H5" s="19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7.75" customHeight="1">
      <c r="A6" s="1"/>
      <c r="B6" s="1"/>
      <c r="C6" s="1"/>
      <c r="D6" s="2"/>
      <c r="E6" s="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75" customHeight="1">
      <c r="A7" s="20" t="s">
        <v>5</v>
      </c>
      <c r="B7" s="21" t="s">
        <v>6</v>
      </c>
      <c r="C7" s="22" t="s">
        <v>7</v>
      </c>
      <c r="D7" s="22" t="s">
        <v>8</v>
      </c>
      <c r="E7" s="21" t="s">
        <v>9</v>
      </c>
      <c r="F7" s="21" t="s">
        <v>10</v>
      </c>
      <c r="G7" s="21" t="s">
        <v>11</v>
      </c>
      <c r="H7" s="19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</row>
    <row r="8" ht="27.75" customHeight="1">
      <c r="A8" s="1"/>
      <c r="B8" s="23" t="s">
        <v>12</v>
      </c>
      <c r="C8" s="24" t="s">
        <v>13</v>
      </c>
      <c r="D8" s="24" t="s">
        <v>14</v>
      </c>
      <c r="E8" s="25">
        <v>3.0</v>
      </c>
      <c r="F8" s="26">
        <v>1.0</v>
      </c>
      <c r="G8" s="25">
        <v>1.0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27.75" customHeight="1">
      <c r="A9" s="1"/>
      <c r="B9" s="27" t="s">
        <v>15</v>
      </c>
      <c r="C9" s="28" t="s">
        <v>13</v>
      </c>
      <c r="D9" s="28" t="s">
        <v>16</v>
      </c>
      <c r="E9" s="29">
        <v>3.0</v>
      </c>
      <c r="F9" s="30">
        <v>1.0</v>
      </c>
      <c r="G9" s="29">
        <v>1.0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27.75" customHeight="1">
      <c r="A10" s="1"/>
      <c r="B10" s="27" t="s">
        <v>17</v>
      </c>
      <c r="C10" s="28" t="s">
        <v>13</v>
      </c>
      <c r="D10" s="28" t="s">
        <v>18</v>
      </c>
      <c r="E10" s="29">
        <v>3.0</v>
      </c>
      <c r="F10" s="30">
        <v>1.0</v>
      </c>
      <c r="G10" s="29">
        <v>1.0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27.75" customHeight="1">
      <c r="A11" s="1"/>
      <c r="B11" s="27"/>
      <c r="C11" s="28"/>
      <c r="D11" s="28"/>
      <c r="E11" s="29"/>
      <c r="F11" s="30"/>
      <c r="G11" s="29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27.75" customHeight="1">
      <c r="A12" s="1"/>
      <c r="B12" s="31"/>
      <c r="C12" s="32" t="s">
        <v>19</v>
      </c>
      <c r="D12" s="6"/>
      <c r="E12" s="6"/>
      <c r="F12" s="7"/>
      <c r="G12" s="33">
        <f>SUM(G8:G11)</f>
        <v>3</v>
      </c>
      <c r="H12" s="20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27.75" customHeight="1">
      <c r="A13" s="1"/>
      <c r="B13" s="20"/>
      <c r="C13" s="34"/>
      <c r="D13" s="3"/>
      <c r="E13" s="3"/>
      <c r="F13" s="3"/>
      <c r="G13" s="35"/>
      <c r="H13" s="20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27.75" customHeight="1">
      <c r="A14" s="1"/>
      <c r="B14" s="20"/>
      <c r="C14" s="36"/>
      <c r="D14" s="36"/>
      <c r="E14" s="37"/>
      <c r="F14" s="20"/>
      <c r="G14" s="20"/>
      <c r="H14" s="20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27.75" customHeight="1">
      <c r="A15" s="20" t="s">
        <v>20</v>
      </c>
      <c r="B15" s="21" t="s">
        <v>21</v>
      </c>
      <c r="C15" s="21" t="s">
        <v>22</v>
      </c>
      <c r="D15" s="22" t="s">
        <v>23</v>
      </c>
      <c r="E15" s="22" t="s">
        <v>24</v>
      </c>
      <c r="F15" s="21" t="s">
        <v>9</v>
      </c>
      <c r="G15" s="19"/>
      <c r="H15" s="19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38"/>
      <c r="U15" s="1"/>
      <c r="V15" s="1"/>
      <c r="W15" s="1"/>
      <c r="X15" s="1"/>
      <c r="Y15" s="1"/>
      <c r="Z15" s="1"/>
    </row>
    <row r="16" ht="27.75" customHeight="1">
      <c r="A16" s="1"/>
      <c r="B16" s="39" t="s">
        <v>25</v>
      </c>
      <c r="C16" s="40"/>
      <c r="D16" s="41">
        <v>3.0</v>
      </c>
      <c r="E16" s="42" t="s">
        <v>26</v>
      </c>
      <c r="F16" s="42">
        <v>5.0</v>
      </c>
      <c r="G16" s="1"/>
      <c r="H16" s="1"/>
      <c r="I16" s="1"/>
      <c r="J16" s="1"/>
      <c r="K16" s="38"/>
      <c r="L16" s="1"/>
      <c r="M16" s="1"/>
      <c r="N16" s="1"/>
      <c r="O16" s="1"/>
      <c r="P16" s="1"/>
      <c r="Q16" s="1"/>
      <c r="R16" s="1"/>
      <c r="S16" s="1"/>
      <c r="T16" s="38"/>
      <c r="U16" s="1"/>
      <c r="V16" s="1"/>
      <c r="W16" s="1"/>
      <c r="X16" s="1"/>
      <c r="Y16" s="1"/>
      <c r="Z16" s="1"/>
    </row>
    <row r="17" ht="27.75" customHeight="1">
      <c r="A17" s="1"/>
      <c r="B17" s="43" t="s">
        <v>27</v>
      </c>
      <c r="C17" s="44"/>
      <c r="D17" s="45">
        <v>6.0</v>
      </c>
      <c r="E17" s="46" t="s">
        <v>28</v>
      </c>
      <c r="F17" s="46">
        <v>10.0</v>
      </c>
      <c r="G17" s="1"/>
      <c r="H17" s="1"/>
      <c r="I17" s="1"/>
      <c r="J17" s="1"/>
      <c r="K17" s="38"/>
      <c r="L17" s="1"/>
      <c r="M17" s="1"/>
      <c r="N17" s="1"/>
      <c r="O17" s="1"/>
      <c r="P17" s="1"/>
      <c r="Q17" s="1"/>
      <c r="R17" s="1"/>
      <c r="S17" s="1"/>
      <c r="T17" s="38"/>
      <c r="U17" s="1"/>
      <c r="V17" s="1"/>
      <c r="W17" s="1"/>
      <c r="X17" s="1"/>
      <c r="Y17" s="1"/>
      <c r="Z17" s="1"/>
    </row>
    <row r="18" ht="27.75" customHeight="1">
      <c r="A18" s="1"/>
      <c r="B18" s="43" t="s">
        <v>29</v>
      </c>
      <c r="C18" s="44"/>
      <c r="D18" s="45">
        <v>8.0</v>
      </c>
      <c r="E18" s="46" t="s">
        <v>13</v>
      </c>
      <c r="F18" s="46">
        <v>15.0</v>
      </c>
      <c r="G18" s="1"/>
      <c r="H18" s="1"/>
      <c r="I18" s="1"/>
      <c r="J18" s="1"/>
      <c r="K18" s="38"/>
      <c r="L18" s="1"/>
      <c r="M18" s="1"/>
      <c r="N18" s="1"/>
      <c r="O18" s="1"/>
      <c r="P18" s="1"/>
      <c r="Q18" s="1"/>
      <c r="R18" s="1"/>
      <c r="S18" s="1"/>
      <c r="T18" s="38"/>
      <c r="U18" s="1"/>
      <c r="V18" s="1"/>
      <c r="W18" s="1"/>
      <c r="X18" s="1"/>
      <c r="Y18" s="1"/>
      <c r="Z18" s="1"/>
    </row>
    <row r="19" ht="27.75" customHeight="1">
      <c r="A19" s="1"/>
      <c r="B19" s="43" t="s">
        <v>30</v>
      </c>
      <c r="C19" s="44"/>
      <c r="D19" s="45">
        <v>3.0</v>
      </c>
      <c r="E19" s="46" t="s">
        <v>26</v>
      </c>
      <c r="F19" s="46">
        <v>5.0</v>
      </c>
      <c r="G19" s="1"/>
      <c r="H19" s="1"/>
      <c r="I19" s="1"/>
      <c r="J19" s="1"/>
      <c r="K19" s="38"/>
      <c r="L19" s="1"/>
      <c r="M19" s="1"/>
      <c r="N19" s="1"/>
      <c r="O19" s="1"/>
      <c r="P19" s="1"/>
      <c r="Q19" s="1"/>
      <c r="R19" s="1"/>
      <c r="S19" s="1"/>
      <c r="T19" s="38"/>
      <c r="U19" s="1"/>
      <c r="V19" s="1"/>
      <c r="W19" s="1"/>
      <c r="X19" s="1"/>
      <c r="Y19" s="1"/>
      <c r="Z19" s="1"/>
    </row>
    <row r="20" ht="27.75" customHeight="1">
      <c r="A20" s="1"/>
      <c r="B20" s="43" t="s">
        <v>31</v>
      </c>
      <c r="C20" s="44"/>
      <c r="D20" s="47">
        <v>7.0</v>
      </c>
      <c r="E20" s="46" t="s">
        <v>13</v>
      </c>
      <c r="F20" s="46">
        <v>15.0</v>
      </c>
      <c r="G20" s="1"/>
      <c r="H20" s="1"/>
      <c r="I20" s="1"/>
      <c r="J20" s="1"/>
      <c r="K20" s="38"/>
      <c r="L20" s="1"/>
      <c r="M20" s="1"/>
      <c r="N20" s="1"/>
      <c r="O20" s="1"/>
      <c r="P20" s="1"/>
      <c r="Q20" s="1"/>
      <c r="R20" s="1"/>
      <c r="S20" s="1"/>
      <c r="T20" s="38"/>
      <c r="U20" s="1"/>
      <c r="V20" s="1"/>
      <c r="W20" s="1"/>
      <c r="X20" s="1"/>
      <c r="Y20" s="1"/>
      <c r="Z20" s="1"/>
    </row>
    <row r="21" ht="27.75" customHeight="1">
      <c r="A21" s="1"/>
      <c r="B21" s="43" t="s">
        <v>32</v>
      </c>
      <c r="C21" s="44"/>
      <c r="D21" s="45">
        <v>4.0</v>
      </c>
      <c r="E21" s="46" t="s">
        <v>28</v>
      </c>
      <c r="F21" s="46">
        <v>10.0</v>
      </c>
      <c r="G21" s="1"/>
      <c r="H21" s="1"/>
      <c r="I21" s="1"/>
      <c r="J21" s="1"/>
      <c r="K21" s="38"/>
      <c r="L21" s="1"/>
      <c r="M21" s="1"/>
      <c r="N21" s="1"/>
      <c r="O21" s="1"/>
      <c r="P21" s="1"/>
      <c r="Q21" s="1"/>
      <c r="R21" s="1"/>
      <c r="S21" s="1"/>
      <c r="T21" s="38"/>
      <c r="U21" s="1"/>
      <c r="V21" s="1"/>
      <c r="W21" s="1"/>
      <c r="X21" s="1"/>
      <c r="Y21" s="1"/>
      <c r="Z21" s="1"/>
    </row>
    <row r="22" ht="27.75" customHeight="1">
      <c r="A22" s="1"/>
      <c r="B22" s="43" t="s">
        <v>33</v>
      </c>
      <c r="C22" s="44"/>
      <c r="D22" s="45">
        <v>3.0</v>
      </c>
      <c r="E22" s="46" t="s">
        <v>26</v>
      </c>
      <c r="F22" s="46">
        <v>5.0</v>
      </c>
      <c r="G22" s="1"/>
      <c r="H22" s="1"/>
      <c r="I22" s="1"/>
      <c r="J22" s="1"/>
      <c r="K22" s="38"/>
      <c r="L22" s="1"/>
      <c r="M22" s="1"/>
      <c r="N22" s="1"/>
      <c r="O22" s="1"/>
      <c r="P22" s="1"/>
      <c r="Q22" s="1"/>
      <c r="R22" s="1"/>
      <c r="S22" s="1"/>
      <c r="T22" s="38"/>
      <c r="U22" s="1"/>
      <c r="V22" s="1"/>
      <c r="W22" s="1"/>
      <c r="X22" s="1"/>
      <c r="Y22" s="1"/>
      <c r="Z22" s="1"/>
    </row>
    <row r="23" ht="27.75" customHeight="1">
      <c r="A23" s="1"/>
      <c r="B23" s="43" t="s">
        <v>34</v>
      </c>
      <c r="C23" s="44"/>
      <c r="D23" s="45">
        <v>3.0</v>
      </c>
      <c r="E23" s="46" t="s">
        <v>26</v>
      </c>
      <c r="F23" s="46">
        <v>5.0</v>
      </c>
      <c r="G23" s="1"/>
      <c r="H23" s="1"/>
      <c r="I23" s="1"/>
      <c r="J23" s="1"/>
      <c r="K23" s="38"/>
      <c r="L23" s="1"/>
      <c r="M23" s="1"/>
      <c r="N23" s="1"/>
      <c r="O23" s="1"/>
      <c r="P23" s="1"/>
      <c r="Q23" s="1"/>
      <c r="R23" s="1"/>
      <c r="S23" s="1"/>
      <c r="T23" s="38"/>
      <c r="U23" s="1"/>
      <c r="V23" s="1"/>
      <c r="W23" s="1"/>
      <c r="X23" s="1"/>
      <c r="Y23" s="1"/>
      <c r="Z23" s="1"/>
    </row>
    <row r="24" ht="27.75" customHeight="1">
      <c r="A24" s="1"/>
      <c r="B24" s="43" t="s">
        <v>35</v>
      </c>
      <c r="C24" s="44"/>
      <c r="D24" s="45">
        <v>4.0</v>
      </c>
      <c r="E24" s="46" t="s">
        <v>28</v>
      </c>
      <c r="F24" s="46">
        <v>10.0</v>
      </c>
      <c r="G24" s="1"/>
      <c r="H24" s="1"/>
      <c r="I24" s="1"/>
      <c r="J24" s="1"/>
      <c r="K24" s="38"/>
      <c r="L24" s="1"/>
      <c r="M24" s="1"/>
      <c r="N24" s="1"/>
      <c r="O24" s="1"/>
      <c r="P24" s="1"/>
      <c r="Q24" s="1"/>
      <c r="R24" s="1"/>
      <c r="S24" s="1"/>
      <c r="T24" s="38"/>
      <c r="U24" s="1"/>
      <c r="V24" s="1"/>
      <c r="W24" s="1"/>
      <c r="X24" s="1"/>
      <c r="Y24" s="1"/>
      <c r="Z24" s="1"/>
    </row>
    <row r="25" ht="27.75" customHeight="1">
      <c r="A25" s="1"/>
      <c r="B25" s="43" t="s">
        <v>36</v>
      </c>
      <c r="C25" s="44"/>
      <c r="D25" s="45">
        <v>3.0</v>
      </c>
      <c r="E25" s="46" t="s">
        <v>26</v>
      </c>
      <c r="F25" s="46">
        <v>5.0</v>
      </c>
      <c r="G25" s="1"/>
      <c r="H25" s="1"/>
      <c r="I25" s="1"/>
      <c r="J25" s="1"/>
      <c r="K25" s="38"/>
      <c r="L25" s="1"/>
      <c r="M25" s="1"/>
      <c r="N25" s="1"/>
      <c r="O25" s="1"/>
      <c r="P25" s="1"/>
      <c r="Q25" s="1"/>
      <c r="R25" s="1"/>
      <c r="S25" s="1"/>
      <c r="T25" s="38"/>
      <c r="U25" s="1"/>
      <c r="V25" s="1"/>
      <c r="W25" s="1"/>
      <c r="X25" s="1"/>
      <c r="Y25" s="1"/>
      <c r="Z25" s="1"/>
    </row>
    <row r="26" ht="27.75" customHeight="1">
      <c r="A26" s="1"/>
      <c r="B26" s="27"/>
      <c r="C26" s="48"/>
      <c r="D26" s="30"/>
      <c r="E26" s="29"/>
      <c r="F26" s="29"/>
      <c r="G26" s="1"/>
      <c r="H26" s="1"/>
      <c r="I26" s="1"/>
      <c r="J26" s="1"/>
      <c r="K26" s="38"/>
      <c r="L26" s="1"/>
      <c r="M26" s="1"/>
      <c r="N26" s="1"/>
      <c r="O26" s="1"/>
      <c r="P26" s="1"/>
      <c r="Q26" s="1"/>
      <c r="R26" s="1"/>
      <c r="S26" s="1"/>
      <c r="T26" s="38"/>
      <c r="U26" s="1"/>
      <c r="V26" s="1"/>
      <c r="W26" s="1"/>
      <c r="X26" s="1"/>
      <c r="Y26" s="1"/>
      <c r="Z26" s="1"/>
    </row>
    <row r="27" ht="27.75" customHeight="1">
      <c r="A27" s="1"/>
      <c r="B27" s="27"/>
      <c r="C27" s="48"/>
      <c r="D27" s="30"/>
      <c r="E27" s="29"/>
      <c r="F27" s="29"/>
      <c r="G27" s="1"/>
      <c r="H27" s="1"/>
      <c r="I27" s="1"/>
      <c r="J27" s="1"/>
      <c r="K27" s="38"/>
      <c r="L27" s="1"/>
      <c r="M27" s="1"/>
      <c r="N27" s="1"/>
      <c r="O27" s="1"/>
      <c r="P27" s="1"/>
      <c r="Q27" s="1"/>
      <c r="R27" s="1"/>
      <c r="S27" s="1"/>
      <c r="T27" s="38"/>
      <c r="U27" s="1"/>
      <c r="V27" s="1"/>
      <c r="W27" s="1"/>
      <c r="X27" s="1"/>
      <c r="Y27" s="1"/>
      <c r="Z27" s="1"/>
    </row>
    <row r="28" ht="27.75" customHeight="1">
      <c r="A28" s="1"/>
      <c r="B28" s="27"/>
      <c r="C28" s="48"/>
      <c r="D28" s="30"/>
      <c r="E28" s="29"/>
      <c r="F28" s="29"/>
      <c r="G28" s="1"/>
      <c r="H28" s="1"/>
      <c r="I28" s="1"/>
      <c r="J28" s="1"/>
      <c r="K28" s="38"/>
      <c r="L28" s="1"/>
      <c r="M28" s="1"/>
      <c r="N28" s="1"/>
      <c r="O28" s="1"/>
      <c r="P28" s="1"/>
      <c r="Q28" s="1"/>
      <c r="R28" s="1"/>
      <c r="S28" s="1"/>
      <c r="T28" s="38"/>
      <c r="U28" s="1"/>
      <c r="V28" s="1"/>
      <c r="W28" s="1"/>
      <c r="X28" s="1"/>
      <c r="Y28" s="1"/>
      <c r="Z28" s="1"/>
    </row>
    <row r="29" ht="27.75" customHeight="1">
      <c r="A29" s="1"/>
      <c r="B29" s="49"/>
      <c r="C29" s="50" t="s">
        <v>37</v>
      </c>
      <c r="D29" s="51"/>
      <c r="E29" s="52"/>
      <c r="F29" s="53">
        <f>SUM(F16:F28)</f>
        <v>85</v>
      </c>
      <c r="G29" s="1"/>
      <c r="H29" s="20"/>
      <c r="I29" s="1"/>
      <c r="J29" s="1"/>
      <c r="K29" s="38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27.75" customHeight="1">
      <c r="A30" s="1"/>
      <c r="B30" s="1"/>
      <c r="C30" s="1"/>
      <c r="D30" s="2"/>
      <c r="E30" s="3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27.75" customHeight="1">
      <c r="A31" s="1"/>
      <c r="B31" s="1"/>
      <c r="C31" s="1"/>
      <c r="D31" s="2"/>
      <c r="E31" s="3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27.75" customHeight="1">
      <c r="A32" s="20" t="s">
        <v>38</v>
      </c>
      <c r="B32" s="54"/>
      <c r="C32" s="32" t="s">
        <v>39</v>
      </c>
      <c r="D32" s="6"/>
      <c r="E32" s="7"/>
      <c r="F32" s="33">
        <f>G12+F29</f>
        <v>88</v>
      </c>
      <c r="G32" s="1"/>
      <c r="H32" s="20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27.75" customHeight="1">
      <c r="A33" s="1"/>
      <c r="B33" s="1"/>
      <c r="C33" s="1"/>
      <c r="D33" s="2"/>
      <c r="E33" s="3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27.75" customHeight="1">
      <c r="A34" s="1"/>
      <c r="B34" s="3"/>
      <c r="C34" s="1"/>
      <c r="D34" s="2"/>
      <c r="E34" s="3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27.75" customHeight="1">
      <c r="A35" s="20" t="s">
        <v>40</v>
      </c>
      <c r="B35" s="22" t="s">
        <v>41</v>
      </c>
      <c r="C35" s="22" t="s">
        <v>42</v>
      </c>
      <c r="D35" s="21" t="s">
        <v>43</v>
      </c>
      <c r="E35" s="21" t="s">
        <v>9</v>
      </c>
      <c r="F35" s="21" t="s">
        <v>44</v>
      </c>
      <c r="G35" s="21" t="s">
        <v>45</v>
      </c>
      <c r="H35" s="1" t="s">
        <v>46</v>
      </c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</row>
    <row r="36" ht="27.75" customHeight="1">
      <c r="A36" s="1"/>
      <c r="B36" s="55" t="s">
        <v>47</v>
      </c>
      <c r="C36" s="55" t="s">
        <v>48</v>
      </c>
      <c r="D36" s="23" t="s">
        <v>49</v>
      </c>
      <c r="E36" s="56">
        <v>2.0</v>
      </c>
      <c r="F36" s="26">
        <v>0.0</v>
      </c>
      <c r="G36" s="56">
        <v>0.0</v>
      </c>
      <c r="H36" s="57" t="s">
        <v>50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55" t="s">
        <v>51</v>
      </c>
      <c r="C37" s="55" t="s">
        <v>48</v>
      </c>
      <c r="D37" s="27" t="s">
        <v>52</v>
      </c>
      <c r="E37" s="58">
        <v>2.0</v>
      </c>
      <c r="F37" s="30">
        <v>5.0</v>
      </c>
      <c r="G37" s="58">
        <v>10.0</v>
      </c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27.75" customHeight="1">
      <c r="A38" s="1"/>
      <c r="B38" s="55" t="s">
        <v>53</v>
      </c>
      <c r="C38" s="55" t="s">
        <v>48</v>
      </c>
      <c r="D38" s="59"/>
      <c r="E38" s="58">
        <v>1.0</v>
      </c>
      <c r="F38" s="30">
        <v>4.0</v>
      </c>
      <c r="G38" s="58">
        <v>4.0</v>
      </c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55" t="s">
        <v>54</v>
      </c>
      <c r="C39" s="55" t="s">
        <v>48</v>
      </c>
      <c r="D39" s="27" t="s">
        <v>55</v>
      </c>
      <c r="E39" s="58">
        <v>1.0</v>
      </c>
      <c r="F39" s="30">
        <v>4.0</v>
      </c>
      <c r="G39" s="58">
        <v>4.0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27.75" customHeight="1">
      <c r="A40" s="1"/>
      <c r="B40" s="55" t="s">
        <v>56</v>
      </c>
      <c r="C40" s="55" t="s">
        <v>48</v>
      </c>
      <c r="D40" s="27" t="s">
        <v>57</v>
      </c>
      <c r="E40" s="58">
        <v>1.0</v>
      </c>
      <c r="F40" s="30">
        <v>0.0</v>
      </c>
      <c r="G40" s="58">
        <v>0.0</v>
      </c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27.75" customHeight="1">
      <c r="A41" s="1"/>
      <c r="B41" s="55" t="s">
        <v>58</v>
      </c>
      <c r="C41" s="55" t="s">
        <v>48</v>
      </c>
      <c r="D41" s="27" t="s">
        <v>59</v>
      </c>
      <c r="E41" s="58">
        <v>0.5</v>
      </c>
      <c r="F41" s="30">
        <v>5.0</v>
      </c>
      <c r="G41" s="58">
        <v>2.5</v>
      </c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27.75" customHeight="1">
      <c r="A42" s="1"/>
      <c r="B42" s="55" t="s">
        <v>60</v>
      </c>
      <c r="C42" s="55" t="s">
        <v>48</v>
      </c>
      <c r="D42" s="27" t="s">
        <v>61</v>
      </c>
      <c r="E42" s="58">
        <v>0.5</v>
      </c>
      <c r="F42" s="30">
        <v>5.0</v>
      </c>
      <c r="G42" s="58">
        <v>2.5</v>
      </c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27.75" customHeight="1">
      <c r="A43" s="1"/>
      <c r="B43" s="55" t="s">
        <v>62</v>
      </c>
      <c r="C43" s="55" t="s">
        <v>48</v>
      </c>
      <c r="D43" s="27" t="s">
        <v>63</v>
      </c>
      <c r="E43" s="58">
        <v>2.0</v>
      </c>
      <c r="F43" s="30">
        <v>3.0</v>
      </c>
      <c r="G43" s="58">
        <v>6.0</v>
      </c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27.75" customHeight="1">
      <c r="A44" s="1"/>
      <c r="B44" s="55" t="s">
        <v>64</v>
      </c>
      <c r="C44" s="55" t="s">
        <v>48</v>
      </c>
      <c r="D44" s="27" t="s">
        <v>65</v>
      </c>
      <c r="E44" s="58">
        <v>1.0</v>
      </c>
      <c r="F44" s="30">
        <v>1.0</v>
      </c>
      <c r="G44" s="58">
        <v>1.0</v>
      </c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27.75" customHeight="1">
      <c r="A45" s="1"/>
      <c r="B45" s="55" t="s">
        <v>66</v>
      </c>
      <c r="C45" s="55" t="s">
        <v>48</v>
      </c>
      <c r="D45" s="27" t="s">
        <v>67</v>
      </c>
      <c r="E45" s="58">
        <v>1.0</v>
      </c>
      <c r="F45" s="30">
        <v>5.0</v>
      </c>
      <c r="G45" s="58">
        <v>5.0</v>
      </c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55" t="s">
        <v>68</v>
      </c>
      <c r="C46" s="55" t="s">
        <v>48</v>
      </c>
      <c r="D46" s="27" t="s">
        <v>69</v>
      </c>
      <c r="E46" s="58">
        <v>1.0</v>
      </c>
      <c r="F46" s="30">
        <v>5.0</v>
      </c>
      <c r="G46" s="58">
        <v>5.0</v>
      </c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55" t="s">
        <v>70</v>
      </c>
      <c r="C47" s="55" t="s">
        <v>48</v>
      </c>
      <c r="D47" s="27" t="s">
        <v>71</v>
      </c>
      <c r="E47" s="58">
        <v>1.0</v>
      </c>
      <c r="F47" s="30">
        <v>4.0</v>
      </c>
      <c r="G47" s="58">
        <v>4.0</v>
      </c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55" t="s">
        <v>72</v>
      </c>
      <c r="C48" s="55" t="s">
        <v>48</v>
      </c>
      <c r="D48" s="27" t="s">
        <v>73</v>
      </c>
      <c r="E48" s="58">
        <v>1.0</v>
      </c>
      <c r="F48" s="30">
        <v>3.0</v>
      </c>
      <c r="G48" s="58">
        <v>3.0</v>
      </c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27.75" customHeight="1">
      <c r="A49" s="1"/>
      <c r="B49" s="32" t="s">
        <v>74</v>
      </c>
      <c r="C49" s="6"/>
      <c r="D49" s="6"/>
      <c r="E49" s="6"/>
      <c r="F49" s="7"/>
      <c r="G49" s="60">
        <f>SUM(G36:G48)</f>
        <v>47</v>
      </c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27.75" customHeight="1">
      <c r="A50" s="1"/>
      <c r="B50" s="32" t="s">
        <v>75</v>
      </c>
      <c r="C50" s="6"/>
      <c r="D50" s="6"/>
      <c r="E50" s="6"/>
      <c r="F50" s="7"/>
      <c r="G50" s="53">
        <f>0.6+(0.01*G49)</f>
        <v>1.07</v>
      </c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27.75" customHeight="1">
      <c r="A51" s="1"/>
      <c r="B51" s="34"/>
      <c r="C51" s="3"/>
      <c r="D51" s="3"/>
      <c r="E51" s="3"/>
      <c r="F51" s="3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27.75" customHeight="1">
      <c r="A52" s="1"/>
      <c r="B52" s="61"/>
      <c r="C52" s="61"/>
      <c r="D52" s="62"/>
      <c r="E52" s="61"/>
      <c r="F52" s="61"/>
      <c r="G52" s="6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20" t="s">
        <v>76</v>
      </c>
      <c r="B53" s="22" t="s">
        <v>77</v>
      </c>
      <c r="C53" s="22" t="s">
        <v>78</v>
      </c>
      <c r="D53" s="21" t="s">
        <v>79</v>
      </c>
      <c r="E53" s="21" t="s">
        <v>9</v>
      </c>
      <c r="F53" s="21" t="s">
        <v>44</v>
      </c>
      <c r="G53" s="21" t="s">
        <v>45</v>
      </c>
      <c r="H53" s="1" t="s">
        <v>80</v>
      </c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</row>
    <row r="54" ht="15.75" customHeight="1">
      <c r="A54" s="1"/>
      <c r="B54" s="63" t="s">
        <v>81</v>
      </c>
      <c r="C54" s="55" t="s">
        <v>82</v>
      </c>
      <c r="D54" s="23" t="s">
        <v>83</v>
      </c>
      <c r="E54" s="56" t="s">
        <v>84</v>
      </c>
      <c r="F54" s="26">
        <v>3.0</v>
      </c>
      <c r="G54" s="56" t="s">
        <v>85</v>
      </c>
      <c r="H54" s="57" t="s">
        <v>50</v>
      </c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63" t="s">
        <v>86</v>
      </c>
      <c r="C55" s="55" t="s">
        <v>82</v>
      </c>
      <c r="D55" s="27" t="s">
        <v>87</v>
      </c>
      <c r="E55" s="58" t="s">
        <v>88</v>
      </c>
      <c r="F55" s="30">
        <v>4.0</v>
      </c>
      <c r="G55" s="58">
        <v>2.0</v>
      </c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63" t="s">
        <v>89</v>
      </c>
      <c r="C56" s="55" t="s">
        <v>82</v>
      </c>
      <c r="D56" s="27" t="s">
        <v>90</v>
      </c>
      <c r="E56" s="58">
        <v>1.0</v>
      </c>
      <c r="F56" s="30">
        <v>4.0</v>
      </c>
      <c r="G56" s="58">
        <v>4.0</v>
      </c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63" t="s">
        <v>91</v>
      </c>
      <c r="C57" s="55" t="s">
        <v>82</v>
      </c>
      <c r="D57" s="27" t="s">
        <v>92</v>
      </c>
      <c r="E57" s="58" t="s">
        <v>88</v>
      </c>
      <c r="F57" s="30">
        <v>3.0</v>
      </c>
      <c r="G57" s="58" t="s">
        <v>84</v>
      </c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27.75" customHeight="1">
      <c r="A58" s="1"/>
      <c r="B58" s="63" t="s">
        <v>93</v>
      </c>
      <c r="C58" s="55" t="s">
        <v>94</v>
      </c>
      <c r="D58" s="27" t="s">
        <v>95</v>
      </c>
      <c r="E58" s="58">
        <v>1.0</v>
      </c>
      <c r="F58" s="30">
        <v>4.0</v>
      </c>
      <c r="G58" s="58">
        <v>4.0</v>
      </c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63" t="s">
        <v>96</v>
      </c>
      <c r="C59" s="55" t="s">
        <v>97</v>
      </c>
      <c r="D59" s="27" t="s">
        <v>98</v>
      </c>
      <c r="E59" s="58">
        <v>2.0</v>
      </c>
      <c r="F59" s="30">
        <v>2.0</v>
      </c>
      <c r="G59" s="58">
        <v>4.0</v>
      </c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63" t="s">
        <v>99</v>
      </c>
      <c r="C60" s="55" t="s">
        <v>100</v>
      </c>
      <c r="D60" s="27" t="s">
        <v>101</v>
      </c>
      <c r="E60" s="58">
        <v>-1.0</v>
      </c>
      <c r="F60" s="30">
        <v>4.0</v>
      </c>
      <c r="G60" s="58">
        <v>-4.0</v>
      </c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63" t="s">
        <v>102</v>
      </c>
      <c r="C61" s="55" t="s">
        <v>103</v>
      </c>
      <c r="D61" s="27" t="s">
        <v>104</v>
      </c>
      <c r="E61" s="58">
        <v>-1.0</v>
      </c>
      <c r="F61" s="30">
        <v>4.0</v>
      </c>
      <c r="G61" s="58">
        <v>-4.0</v>
      </c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27.75" customHeight="1">
      <c r="A62" s="1"/>
      <c r="B62" s="32" t="s">
        <v>105</v>
      </c>
      <c r="C62" s="6"/>
      <c r="D62" s="6"/>
      <c r="E62" s="6"/>
      <c r="F62" s="7"/>
      <c r="G62" s="21">
        <f>SUM(G54:G61)</f>
        <v>6</v>
      </c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27.75" customHeight="1">
      <c r="A63" s="1"/>
      <c r="B63" s="32" t="s">
        <v>106</v>
      </c>
      <c r="C63" s="6"/>
      <c r="D63" s="6"/>
      <c r="E63" s="6"/>
      <c r="F63" s="7"/>
      <c r="G63" s="21">
        <f>1.4 + (-0.03*G62)</f>
        <v>1.22</v>
      </c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27.75" customHeight="1">
      <c r="A64" s="1"/>
      <c r="B64" s="32"/>
      <c r="C64" s="64"/>
      <c r="D64" s="65"/>
      <c r="E64" s="64"/>
      <c r="F64" s="66" t="s">
        <v>107</v>
      </c>
      <c r="G64" s="21">
        <f>COUNTIF($F$54:$F$59,"&lt;3")+COUNTIF($F$60:$F$61,"&gt;3")</f>
        <v>3</v>
      </c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27.75" customHeight="1">
      <c r="A65" s="1"/>
      <c r="B65" s="34"/>
      <c r="C65" s="3"/>
      <c r="D65" s="3"/>
      <c r="E65" s="3"/>
      <c r="F65" s="3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27.75" customHeight="1">
      <c r="A66" s="1"/>
      <c r="B66" s="1"/>
      <c r="C66" s="1"/>
      <c r="D66" s="2"/>
      <c r="E66" s="3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27.75" customHeight="1">
      <c r="A67" s="20" t="s">
        <v>108</v>
      </c>
      <c r="B67" s="67" t="s">
        <v>109</v>
      </c>
      <c r="C67" s="6"/>
      <c r="D67" s="6"/>
      <c r="E67" s="6"/>
      <c r="F67" s="7"/>
      <c r="G67" s="68">
        <f>F32*G50*G63</f>
        <v>114.8752</v>
      </c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27.75" customHeight="1">
      <c r="A68" s="1"/>
      <c r="B68" s="1"/>
      <c r="C68" s="1"/>
      <c r="D68" s="2"/>
      <c r="E68" s="3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27.75" customHeight="1">
      <c r="A69" s="1"/>
      <c r="B69" s="1"/>
      <c r="C69" s="1"/>
      <c r="D69" s="2"/>
      <c r="E69" s="3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69" t="s">
        <v>110</v>
      </c>
      <c r="B70" s="22" t="s">
        <v>111</v>
      </c>
      <c r="C70" s="22" t="s">
        <v>112</v>
      </c>
      <c r="D70" s="22" t="s">
        <v>113</v>
      </c>
      <c r="E70" s="3"/>
      <c r="F70" s="1"/>
      <c r="G70" s="22" t="s">
        <v>114</v>
      </c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27.75" customHeight="1">
      <c r="A71" s="1"/>
      <c r="B71" s="70">
        <v>20.0</v>
      </c>
      <c r="C71" s="70">
        <f>IF($G$64&gt;=5,36,IF(AND(G$64&gt;2,$G$64&lt;=4),28, IF(AND($G$64&gt;=0,$G$64&lt;=2),20,"error")))</f>
        <v>28</v>
      </c>
      <c r="D71" s="71">
        <f>IF($G$64&gt;=5,$G$71*(36/20),IF(AND($G$64&gt;2,$G$64&lt;=4),$G$71*(28/20), IF(AND($G$64&gt;=0,$G$64&lt;=2),$G$71,"error")))</f>
        <v>3.5</v>
      </c>
      <c r="E71" s="3"/>
      <c r="F71" s="1"/>
      <c r="G71" s="72">
        <v>2.5</v>
      </c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27.75" customHeight="1">
      <c r="A72" s="1"/>
      <c r="B72" s="73" t="s">
        <v>115</v>
      </c>
      <c r="C72" s="6"/>
      <c r="D72" s="7"/>
      <c r="E72" s="3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27.75" customHeight="1">
      <c r="A73" s="74" t="s">
        <v>116</v>
      </c>
      <c r="B73" s="70">
        <f t="shared" ref="B73:D73" si="1">$G$67*B71</f>
        <v>2297.504</v>
      </c>
      <c r="C73" s="70">
        <f t="shared" si="1"/>
        <v>3216.5056</v>
      </c>
      <c r="D73" s="70">
        <f t="shared" si="1"/>
        <v>402.0632</v>
      </c>
      <c r="E73" s="3"/>
      <c r="F73" s="1"/>
      <c r="G73" s="22" t="s">
        <v>117</v>
      </c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27.75" customHeight="1">
      <c r="A74" s="74" t="s">
        <v>118</v>
      </c>
      <c r="B74" s="75">
        <f>B73/(22*G74)</f>
        <v>52.216</v>
      </c>
      <c r="C74" s="75">
        <f>C73/(22*G74)</f>
        <v>73.1024</v>
      </c>
      <c r="D74" s="76">
        <f>D73/(22*G74)</f>
        <v>9.1378</v>
      </c>
      <c r="E74" s="3"/>
      <c r="F74" s="1"/>
      <c r="G74" s="72">
        <v>2.0</v>
      </c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27.75" customHeight="1">
      <c r="A75" s="1"/>
      <c r="B75" s="1"/>
      <c r="C75" s="1"/>
      <c r="D75" s="2"/>
      <c r="E75" s="3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27.75" customHeight="1">
      <c r="A76" s="1"/>
      <c r="B76" s="1"/>
      <c r="C76" s="1"/>
      <c r="D76" s="2"/>
      <c r="E76" s="3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27.75" customHeight="1">
      <c r="A77" s="20" t="s">
        <v>119</v>
      </c>
      <c r="B77" s="77" t="s">
        <v>120</v>
      </c>
      <c r="C77" s="78"/>
      <c r="D77" s="65"/>
      <c r="E77" s="64"/>
      <c r="F77" s="79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27.75" customHeight="1">
      <c r="A78" s="1"/>
      <c r="B78" s="54" t="s">
        <v>121</v>
      </c>
      <c r="C78" s="21" t="s">
        <v>122</v>
      </c>
      <c r="D78" s="68" t="s">
        <v>123</v>
      </c>
      <c r="E78" s="68" t="s">
        <v>124</v>
      </c>
      <c r="F78" s="68" t="s">
        <v>125</v>
      </c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27.75" customHeight="1">
      <c r="A79" s="1"/>
      <c r="B79" s="80" t="s">
        <v>126</v>
      </c>
      <c r="C79" s="81">
        <v>0.4</v>
      </c>
      <c r="D79" s="75">
        <f t="shared" ref="D79:F79" si="2">+B73</f>
        <v>2297.504</v>
      </c>
      <c r="E79" s="75">
        <f t="shared" si="2"/>
        <v>3216.5056</v>
      </c>
      <c r="F79" s="75">
        <f t="shared" si="2"/>
        <v>402.0632</v>
      </c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27.75" customHeight="1">
      <c r="A80" s="1"/>
      <c r="B80" s="80" t="s">
        <v>127</v>
      </c>
      <c r="C80" s="81">
        <f>1-C79</f>
        <v>0.6</v>
      </c>
      <c r="D80" s="70">
        <f t="shared" ref="D80:F80" si="3">+D79*1.5</f>
        <v>3446.256</v>
      </c>
      <c r="E80" s="70">
        <f t="shared" si="3"/>
        <v>4824.7584</v>
      </c>
      <c r="F80" s="70">
        <f t="shared" si="3"/>
        <v>603.0948</v>
      </c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27.75" customHeight="1">
      <c r="A81" s="1"/>
      <c r="B81" s="82"/>
      <c r="C81" s="81">
        <f>SUM(C79:C80)</f>
        <v>1</v>
      </c>
      <c r="D81" s="75">
        <f t="shared" ref="D81:F81" si="4">+D79+D80</f>
        <v>5743.76</v>
      </c>
      <c r="E81" s="75">
        <f t="shared" si="4"/>
        <v>8041.264</v>
      </c>
      <c r="F81" s="75">
        <f t="shared" si="4"/>
        <v>1005.158</v>
      </c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27.75" customHeight="1">
      <c r="A82" s="1"/>
      <c r="B82" s="1"/>
      <c r="C82" s="1"/>
      <c r="D82" s="1"/>
      <c r="E82" s="3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27.75" customHeight="1">
      <c r="A83" s="20" t="s">
        <v>128</v>
      </c>
      <c r="B83" s="77" t="s">
        <v>129</v>
      </c>
      <c r="C83" s="78"/>
      <c r="D83" s="65"/>
      <c r="E83" s="64"/>
      <c r="F83" s="79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27.75" customHeight="1">
      <c r="A84" s="1"/>
      <c r="B84" s="54" t="s">
        <v>121</v>
      </c>
      <c r="C84" s="21" t="s">
        <v>122</v>
      </c>
      <c r="D84" s="68" t="s">
        <v>130</v>
      </c>
      <c r="E84" s="68" t="s">
        <v>131</v>
      </c>
      <c r="F84" s="68" t="s">
        <v>132</v>
      </c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27.75" customHeight="1">
      <c r="A85" s="1"/>
      <c r="B85" s="80" t="s">
        <v>126</v>
      </c>
      <c r="C85" s="81">
        <v>0.4</v>
      </c>
      <c r="D85" s="75">
        <f t="shared" ref="D85:F85" si="5">$C85/$C$85*B$74</f>
        <v>52.216</v>
      </c>
      <c r="E85" s="75">
        <f t="shared" si="5"/>
        <v>73.1024</v>
      </c>
      <c r="F85" s="75">
        <f t="shared" si="5"/>
        <v>9.1378</v>
      </c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27.75" customHeight="1">
      <c r="A86" s="1"/>
      <c r="B86" s="80" t="s">
        <v>127</v>
      </c>
      <c r="C86" s="81">
        <f>1-C85</f>
        <v>0.6</v>
      </c>
      <c r="D86" s="70">
        <f t="shared" ref="D86:F86" si="6">$C86/$C$85*B$74</f>
        <v>78.324</v>
      </c>
      <c r="E86" s="70">
        <f t="shared" si="6"/>
        <v>109.6536</v>
      </c>
      <c r="F86" s="70">
        <f t="shared" si="6"/>
        <v>13.7067</v>
      </c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27.75" customHeight="1">
      <c r="A87" s="1"/>
      <c r="B87" s="82"/>
      <c r="C87" s="81">
        <f>SUM(C85:C86)</f>
        <v>1</v>
      </c>
      <c r="D87" s="75">
        <f t="shared" ref="D87:F87" si="7">$C87/$C$85*B$74</f>
        <v>130.54</v>
      </c>
      <c r="E87" s="75">
        <f t="shared" si="7"/>
        <v>182.756</v>
      </c>
      <c r="F87" s="75">
        <f t="shared" si="7"/>
        <v>22.8445</v>
      </c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27.75" customHeight="1">
      <c r="A88" s="1"/>
      <c r="B88" s="1"/>
      <c r="C88" s="1"/>
      <c r="D88" s="2"/>
      <c r="E88" s="3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27.75" customHeight="1">
      <c r="A89" s="20" t="s">
        <v>133</v>
      </c>
      <c r="B89" s="83">
        <v>5.0</v>
      </c>
      <c r="C89" s="1"/>
      <c r="D89" s="2"/>
      <c r="E89" s="3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27.75" customHeight="1">
      <c r="A90" s="1"/>
      <c r="B90" s="1"/>
      <c r="C90" s="1"/>
      <c r="D90" s="2"/>
      <c r="E90" s="3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27.75" customHeight="1">
      <c r="A91" s="20" t="s">
        <v>134</v>
      </c>
      <c r="B91" s="68" t="s">
        <v>135</v>
      </c>
      <c r="C91" s="68" t="s">
        <v>136</v>
      </c>
      <c r="D91" s="68" t="s">
        <v>137</v>
      </c>
      <c r="E91" s="3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27.75" customHeight="1">
      <c r="A92" s="84"/>
      <c r="B92" s="85">
        <f>$D$87/$B$89</f>
        <v>26.108</v>
      </c>
      <c r="C92" s="85">
        <f>$E$87/$B$89</f>
        <v>36.5512</v>
      </c>
      <c r="D92" s="85">
        <f>$F$87/$B$89</f>
        <v>4.5689</v>
      </c>
      <c r="E92" s="84"/>
      <c r="F92" s="84"/>
      <c r="G92" s="84"/>
      <c r="H92" s="84"/>
      <c r="I92" s="84"/>
      <c r="J92" s="84"/>
      <c r="K92" s="84"/>
      <c r="L92" s="84"/>
      <c r="M92" s="84"/>
      <c r="N92" s="84"/>
      <c r="O92" s="84"/>
      <c r="P92" s="84"/>
      <c r="Q92" s="84"/>
      <c r="R92" s="84"/>
      <c r="S92" s="84"/>
      <c r="T92" s="84"/>
      <c r="U92" s="84"/>
      <c r="V92" s="84"/>
      <c r="W92" s="84"/>
      <c r="X92" s="84"/>
      <c r="Y92" s="84"/>
      <c r="Z92" s="84"/>
    </row>
    <row r="93" ht="15.75" customHeight="1">
      <c r="A93" s="84"/>
      <c r="B93" s="84"/>
      <c r="C93" s="84"/>
      <c r="D93" s="84"/>
      <c r="E93" s="86"/>
      <c r="F93" s="84"/>
      <c r="G93" s="84"/>
      <c r="H93" s="84"/>
      <c r="I93" s="84"/>
      <c r="J93" s="84"/>
      <c r="K93" s="84"/>
      <c r="L93" s="84"/>
      <c r="M93" s="84"/>
      <c r="N93" s="84"/>
      <c r="O93" s="84"/>
      <c r="P93" s="84"/>
      <c r="Q93" s="84"/>
      <c r="R93" s="84"/>
      <c r="S93" s="84"/>
      <c r="T93" s="84"/>
      <c r="U93" s="84"/>
      <c r="V93" s="84"/>
      <c r="W93" s="84"/>
      <c r="X93" s="84"/>
      <c r="Y93" s="84"/>
      <c r="Z93" s="84"/>
    </row>
    <row r="94" ht="15.75" customHeight="1">
      <c r="A94" s="84"/>
      <c r="B94" s="84"/>
      <c r="C94" s="84"/>
      <c r="D94" s="84"/>
      <c r="E94" s="86"/>
      <c r="F94" s="84"/>
      <c r="G94" s="84"/>
      <c r="H94" s="84"/>
      <c r="I94" s="84"/>
      <c r="J94" s="84"/>
      <c r="K94" s="84"/>
      <c r="L94" s="84"/>
      <c r="M94" s="84"/>
      <c r="N94" s="84"/>
      <c r="O94" s="84"/>
      <c r="P94" s="84"/>
      <c r="Q94" s="84"/>
      <c r="R94" s="84"/>
      <c r="S94" s="84"/>
      <c r="T94" s="84"/>
      <c r="U94" s="84"/>
      <c r="V94" s="84"/>
      <c r="W94" s="84"/>
      <c r="X94" s="84"/>
      <c r="Y94" s="84"/>
      <c r="Z94" s="84"/>
    </row>
    <row r="95" ht="15.75" customHeight="1">
      <c r="A95" s="84"/>
      <c r="B95" s="84"/>
      <c r="C95" s="84"/>
      <c r="D95" s="84"/>
      <c r="E95" s="86"/>
      <c r="F95" s="84"/>
      <c r="G95" s="84"/>
      <c r="H95" s="84"/>
      <c r="I95" s="84"/>
      <c r="J95" s="84"/>
      <c r="K95" s="84"/>
      <c r="L95" s="84"/>
      <c r="M95" s="84"/>
      <c r="N95" s="84"/>
      <c r="O95" s="84"/>
      <c r="P95" s="84"/>
      <c r="Q95" s="84"/>
      <c r="R95" s="84"/>
      <c r="S95" s="84"/>
      <c r="T95" s="84"/>
      <c r="U95" s="84"/>
      <c r="V95" s="84"/>
      <c r="W95" s="84"/>
      <c r="X95" s="84"/>
      <c r="Y95" s="84"/>
      <c r="Z95" s="84"/>
    </row>
    <row r="96" ht="15.75" customHeight="1">
      <c r="A96" s="84"/>
      <c r="B96" s="84"/>
      <c r="C96" s="84"/>
      <c r="D96" s="84"/>
      <c r="E96" s="86"/>
      <c r="F96" s="84"/>
      <c r="G96" s="84"/>
      <c r="H96" s="84"/>
      <c r="I96" s="84"/>
      <c r="J96" s="84"/>
      <c r="K96" s="84"/>
      <c r="L96" s="84"/>
      <c r="M96" s="84"/>
      <c r="N96" s="84"/>
      <c r="O96" s="84"/>
      <c r="P96" s="84"/>
      <c r="Q96" s="84"/>
      <c r="R96" s="84"/>
      <c r="S96" s="84"/>
      <c r="T96" s="84"/>
      <c r="U96" s="84"/>
      <c r="V96" s="84"/>
      <c r="W96" s="84"/>
      <c r="X96" s="84"/>
      <c r="Y96" s="84"/>
      <c r="Z96" s="84"/>
    </row>
    <row r="97" ht="15.75" customHeight="1">
      <c r="A97" s="84"/>
      <c r="B97" s="84"/>
      <c r="C97" s="84"/>
      <c r="D97" s="84"/>
      <c r="E97" s="86"/>
      <c r="F97" s="84"/>
      <c r="G97" s="84"/>
      <c r="H97" s="84"/>
      <c r="I97" s="84"/>
      <c r="J97" s="84"/>
      <c r="K97" s="84"/>
      <c r="L97" s="84"/>
      <c r="M97" s="84"/>
      <c r="N97" s="84"/>
      <c r="O97" s="84"/>
      <c r="P97" s="84"/>
      <c r="Q97" s="84"/>
      <c r="R97" s="84"/>
      <c r="S97" s="84"/>
      <c r="T97" s="84"/>
      <c r="U97" s="84"/>
      <c r="V97" s="84"/>
      <c r="W97" s="84"/>
      <c r="X97" s="84"/>
      <c r="Y97" s="84"/>
      <c r="Z97" s="84"/>
    </row>
    <row r="98" ht="15.75" customHeight="1">
      <c r="A98" s="84"/>
      <c r="B98" s="84"/>
      <c r="C98" s="84"/>
      <c r="D98" s="84"/>
      <c r="E98" s="86"/>
      <c r="F98" s="84"/>
      <c r="G98" s="84"/>
      <c r="H98" s="84"/>
      <c r="I98" s="84"/>
      <c r="J98" s="84"/>
      <c r="K98" s="84"/>
      <c r="L98" s="84"/>
      <c r="M98" s="84"/>
      <c r="N98" s="84"/>
      <c r="O98" s="84"/>
      <c r="P98" s="84"/>
      <c r="Q98" s="84"/>
      <c r="R98" s="84"/>
      <c r="S98" s="84"/>
      <c r="T98" s="84"/>
      <c r="U98" s="84"/>
      <c r="V98" s="84"/>
      <c r="W98" s="84"/>
      <c r="X98" s="84"/>
      <c r="Y98" s="84"/>
      <c r="Z98" s="84"/>
    </row>
    <row r="99" ht="15.75" customHeight="1">
      <c r="A99" s="84"/>
      <c r="B99" s="84"/>
      <c r="C99" s="84"/>
      <c r="D99" s="84"/>
      <c r="E99" s="86"/>
      <c r="F99" s="84"/>
      <c r="G99" s="84"/>
      <c r="H99" s="84"/>
      <c r="I99" s="84"/>
      <c r="J99" s="84"/>
      <c r="K99" s="84"/>
      <c r="L99" s="84"/>
      <c r="M99" s="84"/>
      <c r="N99" s="84"/>
      <c r="O99" s="84"/>
      <c r="P99" s="84"/>
      <c r="Q99" s="84"/>
      <c r="R99" s="84"/>
      <c r="S99" s="84"/>
      <c r="T99" s="84"/>
      <c r="U99" s="84"/>
      <c r="V99" s="84"/>
      <c r="W99" s="84"/>
      <c r="X99" s="84"/>
      <c r="Y99" s="84"/>
      <c r="Z99" s="84"/>
    </row>
    <row r="100" ht="15.75" customHeight="1">
      <c r="A100" s="84"/>
      <c r="B100" s="84"/>
      <c r="C100" s="84"/>
      <c r="D100" s="84"/>
      <c r="E100" s="86"/>
      <c r="F100" s="84"/>
      <c r="G100" s="84"/>
      <c r="H100" s="84"/>
      <c r="I100" s="84"/>
      <c r="J100" s="84"/>
      <c r="K100" s="84"/>
      <c r="L100" s="84"/>
      <c r="M100" s="84"/>
      <c r="N100" s="84"/>
      <c r="O100" s="84"/>
      <c r="P100" s="84"/>
      <c r="Q100" s="84"/>
      <c r="R100" s="84"/>
      <c r="S100" s="84"/>
      <c r="T100" s="84"/>
      <c r="U100" s="84"/>
      <c r="V100" s="84"/>
      <c r="W100" s="84"/>
      <c r="X100" s="84"/>
      <c r="Y100" s="84"/>
      <c r="Z100" s="84"/>
    </row>
    <row r="101" ht="15.75" customHeight="1">
      <c r="A101" s="84"/>
      <c r="B101" s="84"/>
      <c r="C101" s="84"/>
      <c r="D101" s="84"/>
      <c r="E101" s="86"/>
      <c r="F101" s="84"/>
      <c r="G101" s="84"/>
      <c r="H101" s="84"/>
      <c r="I101" s="84"/>
      <c r="J101" s="84"/>
      <c r="K101" s="84"/>
      <c r="L101" s="84"/>
      <c r="M101" s="84"/>
      <c r="N101" s="84"/>
      <c r="O101" s="84"/>
      <c r="P101" s="84"/>
      <c r="Q101" s="84"/>
      <c r="R101" s="84"/>
      <c r="S101" s="84"/>
      <c r="T101" s="84"/>
      <c r="U101" s="84"/>
      <c r="V101" s="84"/>
      <c r="W101" s="84"/>
      <c r="X101" s="84"/>
      <c r="Y101" s="84"/>
      <c r="Z101" s="84"/>
    </row>
    <row r="102" ht="15.75" customHeight="1">
      <c r="A102" s="84"/>
      <c r="B102" s="84"/>
      <c r="C102" s="84"/>
      <c r="D102" s="84"/>
      <c r="E102" s="86"/>
      <c r="F102" s="84"/>
      <c r="G102" s="84"/>
      <c r="H102" s="84"/>
      <c r="I102" s="84"/>
      <c r="J102" s="84"/>
      <c r="K102" s="84"/>
      <c r="L102" s="84"/>
      <c r="M102" s="84"/>
      <c r="N102" s="84"/>
      <c r="O102" s="84"/>
      <c r="P102" s="84"/>
      <c r="Q102" s="84"/>
      <c r="R102" s="84"/>
      <c r="S102" s="84"/>
      <c r="T102" s="84"/>
      <c r="U102" s="84"/>
      <c r="V102" s="84"/>
      <c r="W102" s="84"/>
      <c r="X102" s="84"/>
      <c r="Y102" s="84"/>
      <c r="Z102" s="84"/>
    </row>
    <row r="103" ht="15.75" customHeight="1">
      <c r="A103" s="84"/>
      <c r="B103" s="84"/>
      <c r="C103" s="84"/>
      <c r="D103" s="84"/>
      <c r="E103" s="86"/>
      <c r="F103" s="84"/>
      <c r="G103" s="84"/>
      <c r="H103" s="84"/>
      <c r="I103" s="84"/>
      <c r="J103" s="84"/>
      <c r="K103" s="84"/>
      <c r="L103" s="84"/>
      <c r="M103" s="84"/>
      <c r="N103" s="84"/>
      <c r="O103" s="84"/>
      <c r="P103" s="84"/>
      <c r="Q103" s="84"/>
      <c r="R103" s="84"/>
      <c r="S103" s="84"/>
      <c r="T103" s="84"/>
      <c r="U103" s="84"/>
      <c r="V103" s="84"/>
      <c r="W103" s="84"/>
      <c r="X103" s="84"/>
      <c r="Y103" s="84"/>
      <c r="Z103" s="84"/>
    </row>
    <row r="104" ht="15.75" customHeight="1">
      <c r="A104" s="84"/>
      <c r="B104" s="84"/>
      <c r="C104" s="84"/>
      <c r="D104" s="84"/>
      <c r="E104" s="86"/>
      <c r="F104" s="84"/>
      <c r="G104" s="84"/>
      <c r="H104" s="84"/>
      <c r="I104" s="84"/>
      <c r="J104" s="84"/>
      <c r="K104" s="84"/>
      <c r="L104" s="84"/>
      <c r="M104" s="84"/>
      <c r="N104" s="84"/>
      <c r="O104" s="84"/>
      <c r="P104" s="84"/>
      <c r="Q104" s="84"/>
      <c r="R104" s="84"/>
      <c r="S104" s="84"/>
      <c r="T104" s="84"/>
      <c r="U104" s="84"/>
      <c r="V104" s="84"/>
      <c r="W104" s="84"/>
      <c r="X104" s="84"/>
      <c r="Y104" s="84"/>
      <c r="Z104" s="84"/>
    </row>
    <row r="105" ht="15.75" customHeight="1">
      <c r="A105" s="84"/>
      <c r="B105" s="84"/>
      <c r="C105" s="84"/>
      <c r="D105" s="84"/>
      <c r="E105" s="86"/>
      <c r="F105" s="84"/>
      <c r="G105" s="84"/>
      <c r="H105" s="84"/>
      <c r="I105" s="84"/>
      <c r="J105" s="84"/>
      <c r="K105" s="84"/>
      <c r="L105" s="84"/>
      <c r="M105" s="84"/>
      <c r="N105" s="84"/>
      <c r="O105" s="84"/>
      <c r="P105" s="84"/>
      <c r="Q105" s="84"/>
      <c r="R105" s="84"/>
      <c r="S105" s="84"/>
      <c r="T105" s="84"/>
      <c r="U105" s="84"/>
      <c r="V105" s="84"/>
      <c r="W105" s="84"/>
      <c r="X105" s="84"/>
      <c r="Y105" s="84"/>
      <c r="Z105" s="84"/>
    </row>
    <row r="106" ht="15.75" customHeight="1">
      <c r="A106" s="84"/>
      <c r="B106" s="84"/>
      <c r="C106" s="84"/>
      <c r="D106" s="84"/>
      <c r="E106" s="86"/>
      <c r="F106" s="84"/>
      <c r="G106" s="84"/>
      <c r="H106" s="84"/>
      <c r="I106" s="84"/>
      <c r="J106" s="84"/>
      <c r="K106" s="84"/>
      <c r="L106" s="84"/>
      <c r="M106" s="84"/>
      <c r="N106" s="84"/>
      <c r="O106" s="84"/>
      <c r="P106" s="84"/>
      <c r="Q106" s="84"/>
      <c r="R106" s="84"/>
      <c r="S106" s="84"/>
      <c r="T106" s="84"/>
      <c r="U106" s="84"/>
      <c r="V106" s="84"/>
      <c r="W106" s="84"/>
      <c r="X106" s="84"/>
      <c r="Y106" s="84"/>
      <c r="Z106" s="84"/>
    </row>
    <row r="107" ht="15.75" customHeight="1">
      <c r="A107" s="84"/>
      <c r="B107" s="84"/>
      <c r="C107" s="84"/>
      <c r="D107" s="84"/>
      <c r="E107" s="86"/>
      <c r="F107" s="84"/>
      <c r="G107" s="84"/>
      <c r="H107" s="84"/>
      <c r="I107" s="84"/>
      <c r="J107" s="84"/>
      <c r="K107" s="84"/>
      <c r="L107" s="84"/>
      <c r="M107" s="84"/>
      <c r="N107" s="84"/>
      <c r="O107" s="84"/>
      <c r="P107" s="84"/>
      <c r="Q107" s="84"/>
      <c r="R107" s="84"/>
      <c r="S107" s="84"/>
      <c r="T107" s="84"/>
      <c r="U107" s="84"/>
      <c r="V107" s="84"/>
      <c r="W107" s="84"/>
      <c r="X107" s="84"/>
      <c r="Y107" s="84"/>
      <c r="Z107" s="84"/>
    </row>
    <row r="108" ht="15.75" customHeight="1">
      <c r="A108" s="84"/>
      <c r="B108" s="84"/>
      <c r="C108" s="84"/>
      <c r="D108" s="84"/>
      <c r="E108" s="86"/>
      <c r="F108" s="84"/>
      <c r="G108" s="84"/>
      <c r="H108" s="84"/>
      <c r="I108" s="84"/>
      <c r="J108" s="84"/>
      <c r="K108" s="84"/>
      <c r="L108" s="84"/>
      <c r="M108" s="84"/>
      <c r="N108" s="84"/>
      <c r="O108" s="84"/>
      <c r="P108" s="84"/>
      <c r="Q108" s="84"/>
      <c r="R108" s="84"/>
      <c r="S108" s="84"/>
      <c r="T108" s="84"/>
      <c r="U108" s="84"/>
      <c r="V108" s="84"/>
      <c r="W108" s="84"/>
      <c r="X108" s="84"/>
      <c r="Y108" s="84"/>
      <c r="Z108" s="84"/>
    </row>
    <row r="109" ht="15.75" customHeight="1">
      <c r="A109" s="1"/>
      <c r="B109" s="1"/>
      <c r="C109" s="1"/>
      <c r="D109" s="2"/>
      <c r="E109" s="3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2"/>
      <c r="E110" s="3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2"/>
      <c r="E111" s="3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2"/>
      <c r="E112" s="3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2"/>
      <c r="E113" s="3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2"/>
      <c r="E114" s="3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2"/>
      <c r="E115" s="3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2"/>
      <c r="E116" s="3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2"/>
      <c r="E117" s="3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2"/>
      <c r="E118" s="3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2"/>
      <c r="E119" s="3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2"/>
      <c r="E120" s="3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2"/>
      <c r="E121" s="3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2"/>
      <c r="E122" s="3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2"/>
      <c r="E123" s="3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2"/>
      <c r="E124" s="3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2"/>
      <c r="E125" s="3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2"/>
      <c r="E126" s="3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2"/>
      <c r="E127" s="3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2"/>
      <c r="E128" s="3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2"/>
      <c r="E129" s="3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2"/>
      <c r="E130" s="3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2"/>
      <c r="E131" s="3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2"/>
      <c r="E132" s="3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2"/>
      <c r="E133" s="3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2"/>
      <c r="E134" s="3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2"/>
      <c r="E135" s="3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2"/>
      <c r="E136" s="3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2"/>
      <c r="E137" s="3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2"/>
      <c r="E138" s="3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2"/>
      <c r="E139" s="3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2"/>
      <c r="E140" s="3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2"/>
      <c r="E141" s="3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2"/>
      <c r="E142" s="3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2"/>
      <c r="E143" s="3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2"/>
      <c r="E144" s="3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2"/>
      <c r="E145" s="3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2"/>
      <c r="E146" s="3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2"/>
      <c r="E147" s="3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2"/>
      <c r="E148" s="3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2"/>
      <c r="E149" s="3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2"/>
      <c r="E150" s="3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2"/>
      <c r="E151" s="3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2"/>
      <c r="E152" s="3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2"/>
      <c r="E153" s="3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2"/>
      <c r="E154" s="3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2"/>
      <c r="E155" s="3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2"/>
      <c r="E156" s="3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2"/>
      <c r="E157" s="3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2"/>
      <c r="E158" s="3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2"/>
      <c r="E159" s="3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2"/>
      <c r="E160" s="3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2"/>
      <c r="E161" s="3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2"/>
      <c r="E162" s="3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2"/>
      <c r="E163" s="3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2"/>
      <c r="E164" s="3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2"/>
      <c r="E165" s="3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2"/>
      <c r="E166" s="3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2"/>
      <c r="E167" s="3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2"/>
      <c r="E168" s="3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2"/>
      <c r="E169" s="3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2"/>
      <c r="E170" s="3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2"/>
      <c r="E171" s="3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2"/>
      <c r="E172" s="3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2"/>
      <c r="E173" s="3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2"/>
      <c r="E174" s="3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2"/>
      <c r="E175" s="3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2"/>
      <c r="E176" s="3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2"/>
      <c r="E177" s="3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2"/>
      <c r="E178" s="3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2"/>
      <c r="E179" s="3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2"/>
      <c r="E180" s="3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2"/>
      <c r="E181" s="3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2"/>
      <c r="E182" s="3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2"/>
      <c r="E183" s="3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2"/>
      <c r="E184" s="3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2"/>
      <c r="E185" s="3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2"/>
      <c r="E186" s="3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2"/>
      <c r="E187" s="3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2"/>
      <c r="E188" s="3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2"/>
      <c r="E189" s="3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2"/>
      <c r="E190" s="3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2"/>
      <c r="E191" s="3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2"/>
      <c r="E192" s="3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2"/>
      <c r="E193" s="3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2"/>
      <c r="E194" s="3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2"/>
      <c r="E195" s="3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2"/>
      <c r="E196" s="3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2"/>
      <c r="E197" s="3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2"/>
      <c r="E198" s="3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2"/>
      <c r="E199" s="3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2"/>
      <c r="E200" s="3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2"/>
      <c r="E201" s="3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2"/>
      <c r="E202" s="3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2"/>
      <c r="E203" s="3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2"/>
      <c r="E204" s="3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2"/>
      <c r="E205" s="3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2"/>
      <c r="E206" s="3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2"/>
      <c r="E207" s="3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2"/>
      <c r="E208" s="3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2"/>
      <c r="E209" s="3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2"/>
      <c r="E210" s="3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2"/>
      <c r="E211" s="3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2"/>
      <c r="E212" s="3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2"/>
      <c r="E213" s="3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2"/>
      <c r="E214" s="3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2"/>
      <c r="E215" s="3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2"/>
      <c r="E216" s="3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2"/>
      <c r="E217" s="3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2"/>
      <c r="E218" s="3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2"/>
      <c r="E219" s="3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2"/>
      <c r="E220" s="3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2"/>
      <c r="E221" s="3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2"/>
      <c r="E222" s="3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2"/>
      <c r="E223" s="3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2"/>
      <c r="E224" s="3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2"/>
      <c r="E225" s="3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2"/>
      <c r="E226" s="3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2"/>
      <c r="E227" s="3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2"/>
      <c r="E228" s="3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2"/>
      <c r="E229" s="3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2"/>
      <c r="E230" s="3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2"/>
      <c r="E231" s="3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2"/>
      <c r="E232" s="3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2"/>
      <c r="E233" s="3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2"/>
      <c r="E234" s="3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2"/>
      <c r="E235" s="3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2"/>
      <c r="E236" s="3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2"/>
      <c r="E237" s="3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2"/>
      <c r="E238" s="3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2"/>
      <c r="E239" s="3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2"/>
      <c r="E240" s="3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2"/>
      <c r="E241" s="3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2"/>
      <c r="E242" s="3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2"/>
      <c r="E243" s="3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2"/>
      <c r="E244" s="3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2"/>
      <c r="E245" s="3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2"/>
      <c r="E246" s="3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2"/>
      <c r="E247" s="3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2"/>
      <c r="E248" s="3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2"/>
      <c r="E249" s="3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2"/>
      <c r="E250" s="3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2"/>
      <c r="E251" s="3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2"/>
      <c r="E252" s="3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2"/>
      <c r="E253" s="3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2"/>
      <c r="E254" s="3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2"/>
      <c r="E255" s="3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2"/>
      <c r="E256" s="3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2"/>
      <c r="E257" s="3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2"/>
      <c r="E258" s="3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2"/>
      <c r="E259" s="3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2"/>
      <c r="E260" s="3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2"/>
      <c r="E261" s="3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2"/>
      <c r="E262" s="3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2"/>
      <c r="E263" s="3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2"/>
      <c r="E264" s="3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2"/>
      <c r="E265" s="3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2"/>
      <c r="E266" s="3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2"/>
      <c r="E267" s="3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2"/>
      <c r="E268" s="3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2"/>
      <c r="E269" s="3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2"/>
      <c r="E270" s="3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2"/>
      <c r="E271" s="3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2"/>
      <c r="E272" s="3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2"/>
      <c r="E273" s="3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2"/>
      <c r="E274" s="3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2"/>
      <c r="E275" s="3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2"/>
      <c r="E276" s="3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2"/>
      <c r="E277" s="3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2"/>
      <c r="E278" s="3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2"/>
      <c r="E279" s="3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2"/>
      <c r="E280" s="3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2"/>
      <c r="E281" s="3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2"/>
      <c r="E282" s="3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2"/>
      <c r="E283" s="3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2"/>
      <c r="E284" s="3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2"/>
      <c r="E285" s="3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2"/>
      <c r="E286" s="3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2"/>
      <c r="E287" s="3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2"/>
      <c r="E288" s="3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2"/>
      <c r="E289" s="3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2"/>
      <c r="E290" s="3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2"/>
      <c r="E291" s="3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2"/>
      <c r="E292" s="3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2"/>
      <c r="E293" s="3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2"/>
      <c r="E294" s="3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2"/>
      <c r="E295" s="3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2"/>
      <c r="E296" s="3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2"/>
      <c r="E297" s="3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2"/>
      <c r="E298" s="3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2"/>
      <c r="E299" s="3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2"/>
      <c r="E300" s="3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2"/>
      <c r="E301" s="3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2"/>
      <c r="E302" s="3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2"/>
      <c r="E303" s="3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2"/>
      <c r="E304" s="3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2"/>
      <c r="E305" s="3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2"/>
      <c r="E306" s="3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2"/>
      <c r="E307" s="3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2"/>
      <c r="E308" s="3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2"/>
      <c r="E309" s="3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2"/>
      <c r="E310" s="3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2"/>
      <c r="E311" s="3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2"/>
      <c r="E312" s="3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2"/>
      <c r="E313" s="3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2"/>
      <c r="E314" s="3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2"/>
      <c r="E315" s="3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2"/>
      <c r="E316" s="3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2"/>
      <c r="E317" s="3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2"/>
      <c r="E318" s="3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2"/>
      <c r="E319" s="3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2"/>
      <c r="E320" s="3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2"/>
      <c r="E321" s="3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2"/>
      <c r="E322" s="3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2"/>
      <c r="E323" s="3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2"/>
      <c r="E324" s="3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2"/>
      <c r="E325" s="3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2"/>
      <c r="E326" s="3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2"/>
      <c r="E327" s="3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2"/>
      <c r="E328" s="3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2"/>
      <c r="E329" s="3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2"/>
      <c r="E330" s="3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2"/>
      <c r="E331" s="3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2"/>
      <c r="E332" s="3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2"/>
      <c r="E333" s="3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2"/>
      <c r="E334" s="3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2"/>
      <c r="E335" s="3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2"/>
      <c r="E336" s="3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2"/>
      <c r="E337" s="3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2"/>
      <c r="E338" s="3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2"/>
      <c r="E339" s="3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2"/>
      <c r="E340" s="3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2"/>
      <c r="E341" s="3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2"/>
      <c r="E342" s="3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2"/>
      <c r="E343" s="3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2"/>
      <c r="E344" s="3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2"/>
      <c r="E345" s="3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2"/>
      <c r="E346" s="3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2"/>
      <c r="E347" s="3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2"/>
      <c r="E348" s="3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2"/>
      <c r="E349" s="3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2"/>
      <c r="E350" s="3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2"/>
      <c r="E351" s="3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2"/>
      <c r="E352" s="3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2"/>
      <c r="E353" s="3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2"/>
      <c r="E354" s="3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2"/>
      <c r="E355" s="3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2"/>
      <c r="E356" s="3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2"/>
      <c r="E357" s="3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2"/>
      <c r="E358" s="3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2"/>
      <c r="E359" s="3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2"/>
      <c r="E360" s="3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2"/>
      <c r="E361" s="3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2"/>
      <c r="E362" s="3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2"/>
      <c r="E363" s="3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2"/>
      <c r="E364" s="3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2"/>
      <c r="E365" s="3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2"/>
      <c r="E366" s="3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2"/>
      <c r="E367" s="3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2"/>
      <c r="E368" s="3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2"/>
      <c r="E369" s="3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2"/>
      <c r="E370" s="3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2"/>
      <c r="E371" s="3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2"/>
      <c r="E372" s="3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2"/>
      <c r="E373" s="3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2"/>
      <c r="E374" s="3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2"/>
      <c r="E375" s="3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2"/>
      <c r="E376" s="3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2"/>
      <c r="E377" s="3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2"/>
      <c r="E378" s="3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2"/>
      <c r="E379" s="3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2"/>
      <c r="E380" s="3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2"/>
      <c r="E381" s="3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2"/>
      <c r="E382" s="3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2"/>
      <c r="E383" s="3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2"/>
      <c r="E384" s="3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2"/>
      <c r="E385" s="3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2"/>
      <c r="E386" s="3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2"/>
      <c r="E387" s="3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2"/>
      <c r="E388" s="3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2"/>
      <c r="E389" s="3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2"/>
      <c r="E390" s="3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2"/>
      <c r="E391" s="3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2"/>
      <c r="E392" s="3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2"/>
      <c r="E393" s="3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2"/>
      <c r="E394" s="3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2"/>
      <c r="E395" s="3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2"/>
      <c r="E396" s="3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2"/>
      <c r="E397" s="3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2"/>
      <c r="E398" s="3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2"/>
      <c r="E399" s="3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2"/>
      <c r="E400" s="3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2"/>
      <c r="E401" s="3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2"/>
      <c r="E402" s="3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2"/>
      <c r="E403" s="3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2"/>
      <c r="E404" s="3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2"/>
      <c r="E405" s="3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2"/>
      <c r="E406" s="3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2"/>
      <c r="E407" s="3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2"/>
      <c r="E408" s="3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2"/>
      <c r="E409" s="3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2"/>
      <c r="E410" s="3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2"/>
      <c r="E411" s="3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2"/>
      <c r="E412" s="3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2"/>
      <c r="E413" s="3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2"/>
      <c r="E414" s="3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2"/>
      <c r="E415" s="3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2"/>
      <c r="E416" s="3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2"/>
      <c r="E417" s="3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2"/>
      <c r="E418" s="3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2"/>
      <c r="E419" s="3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2"/>
      <c r="E420" s="3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2"/>
      <c r="E421" s="3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2"/>
      <c r="E422" s="3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2"/>
      <c r="E423" s="3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2"/>
      <c r="E424" s="3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2"/>
      <c r="E425" s="3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2"/>
      <c r="E426" s="3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2"/>
      <c r="E427" s="3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2"/>
      <c r="E428" s="3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2"/>
      <c r="E429" s="3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2"/>
      <c r="E430" s="3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2"/>
      <c r="E431" s="3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2"/>
      <c r="E432" s="3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2"/>
      <c r="E433" s="3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2"/>
      <c r="E434" s="3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2"/>
      <c r="E435" s="3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2"/>
      <c r="E436" s="3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2"/>
      <c r="E437" s="3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2"/>
      <c r="E438" s="3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2"/>
      <c r="E439" s="3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2"/>
      <c r="E440" s="3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2"/>
      <c r="E441" s="3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2"/>
      <c r="E442" s="3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2"/>
      <c r="E443" s="3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2"/>
      <c r="E444" s="3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2"/>
      <c r="E445" s="3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2"/>
      <c r="E446" s="3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2"/>
      <c r="E447" s="3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2"/>
      <c r="E448" s="3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2"/>
      <c r="E449" s="3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2"/>
      <c r="E450" s="3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2"/>
      <c r="E451" s="3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2"/>
      <c r="E452" s="3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2"/>
      <c r="E453" s="3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2"/>
      <c r="E454" s="3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2"/>
      <c r="E455" s="3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2"/>
      <c r="E456" s="3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2"/>
      <c r="E457" s="3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2"/>
      <c r="E458" s="3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2"/>
      <c r="E459" s="3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2"/>
      <c r="E460" s="3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2"/>
      <c r="E461" s="3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2"/>
      <c r="E462" s="3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2"/>
      <c r="E463" s="3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2"/>
      <c r="E464" s="3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2"/>
      <c r="E465" s="3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2"/>
      <c r="E466" s="3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2"/>
      <c r="E467" s="3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2"/>
      <c r="E468" s="3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2"/>
      <c r="E469" s="3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2"/>
      <c r="E470" s="3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2"/>
      <c r="E471" s="3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2"/>
      <c r="E472" s="3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2"/>
      <c r="E473" s="3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2"/>
      <c r="E474" s="3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2"/>
      <c r="E475" s="3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2"/>
      <c r="E476" s="3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2"/>
      <c r="E477" s="3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2"/>
      <c r="E478" s="3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2"/>
      <c r="E479" s="3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2"/>
      <c r="E480" s="3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2"/>
      <c r="E481" s="3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2"/>
      <c r="E482" s="3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2"/>
      <c r="E483" s="3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2"/>
      <c r="E484" s="3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2"/>
      <c r="E485" s="3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2"/>
      <c r="E486" s="3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2"/>
      <c r="E487" s="3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2"/>
      <c r="E488" s="3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2"/>
      <c r="E489" s="3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2"/>
      <c r="E490" s="3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2"/>
      <c r="E491" s="3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2"/>
      <c r="E492" s="3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2"/>
      <c r="E493" s="3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2"/>
      <c r="E494" s="3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2"/>
      <c r="E495" s="3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2"/>
      <c r="E496" s="3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2"/>
      <c r="E497" s="3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2"/>
      <c r="E498" s="3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2"/>
      <c r="E499" s="3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2"/>
      <c r="E500" s="3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2"/>
      <c r="E501" s="3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2"/>
      <c r="E502" s="3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2"/>
      <c r="E503" s="3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2"/>
      <c r="E504" s="3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2"/>
      <c r="E505" s="3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2"/>
      <c r="E506" s="3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2"/>
      <c r="E507" s="3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2"/>
      <c r="E508" s="3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2"/>
      <c r="E509" s="3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2"/>
      <c r="E510" s="3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2"/>
      <c r="E511" s="3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2"/>
      <c r="E512" s="3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2"/>
      <c r="E513" s="3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2"/>
      <c r="E514" s="3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2"/>
      <c r="E515" s="3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2"/>
      <c r="E516" s="3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2"/>
      <c r="E517" s="3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2"/>
      <c r="E518" s="3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2"/>
      <c r="E519" s="3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2"/>
      <c r="E520" s="3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2"/>
      <c r="E521" s="3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2"/>
      <c r="E522" s="3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2"/>
      <c r="E523" s="3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2"/>
      <c r="E524" s="3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2"/>
      <c r="E525" s="3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2"/>
      <c r="E526" s="3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2"/>
      <c r="E527" s="3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2"/>
      <c r="E528" s="3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2"/>
      <c r="E529" s="3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2"/>
      <c r="E530" s="3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2"/>
      <c r="E531" s="3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2"/>
      <c r="E532" s="3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2"/>
      <c r="E533" s="3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2"/>
      <c r="E534" s="3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2"/>
      <c r="E535" s="3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2"/>
      <c r="E536" s="3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2"/>
      <c r="E537" s="3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2"/>
      <c r="E538" s="3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2"/>
      <c r="E539" s="3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2"/>
      <c r="E540" s="3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2"/>
      <c r="E541" s="3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2"/>
      <c r="E542" s="3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2"/>
      <c r="E543" s="3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2"/>
      <c r="E544" s="3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2"/>
      <c r="E545" s="3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2"/>
      <c r="E546" s="3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2"/>
      <c r="E547" s="3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2"/>
      <c r="E548" s="3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2"/>
      <c r="E549" s="3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2"/>
      <c r="E550" s="3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2"/>
      <c r="E551" s="3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2"/>
      <c r="E552" s="3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2"/>
      <c r="E553" s="3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2"/>
      <c r="E554" s="3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2"/>
      <c r="E555" s="3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2"/>
      <c r="E556" s="3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2"/>
      <c r="E557" s="3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2"/>
      <c r="E558" s="3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2"/>
      <c r="E559" s="3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2"/>
      <c r="E560" s="3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2"/>
      <c r="E561" s="3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2"/>
      <c r="E562" s="3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2"/>
      <c r="E563" s="3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2"/>
      <c r="E564" s="3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2"/>
      <c r="E565" s="3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2"/>
      <c r="E566" s="3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2"/>
      <c r="E567" s="3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2"/>
      <c r="E568" s="3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2"/>
      <c r="E569" s="3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2"/>
      <c r="E570" s="3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2"/>
      <c r="E571" s="3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2"/>
      <c r="E572" s="3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2"/>
      <c r="E573" s="3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2"/>
      <c r="E574" s="3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2"/>
      <c r="E575" s="3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2"/>
      <c r="E576" s="3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2"/>
      <c r="E577" s="3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2"/>
      <c r="E578" s="3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2"/>
      <c r="E579" s="3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2"/>
      <c r="E580" s="3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2"/>
      <c r="E581" s="3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2"/>
      <c r="E582" s="3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2"/>
      <c r="E583" s="3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2"/>
      <c r="E584" s="3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2"/>
      <c r="E585" s="3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2"/>
      <c r="E586" s="3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2"/>
      <c r="E587" s="3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2"/>
      <c r="E588" s="3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2"/>
      <c r="E589" s="3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2"/>
      <c r="E590" s="3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2"/>
      <c r="E591" s="3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2"/>
      <c r="E592" s="3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2"/>
      <c r="E593" s="3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2"/>
      <c r="E594" s="3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2"/>
      <c r="E595" s="3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2"/>
      <c r="E596" s="3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2"/>
      <c r="E597" s="3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2"/>
      <c r="E598" s="3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2"/>
      <c r="E599" s="3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2"/>
      <c r="E600" s="3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2"/>
      <c r="E601" s="3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2"/>
      <c r="E602" s="3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2"/>
      <c r="E603" s="3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2"/>
      <c r="E604" s="3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2"/>
      <c r="E605" s="3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2"/>
      <c r="E606" s="3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2"/>
      <c r="E607" s="3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2"/>
      <c r="E608" s="3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2"/>
      <c r="E609" s="3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2"/>
      <c r="E610" s="3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2"/>
      <c r="E611" s="3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2"/>
      <c r="E612" s="3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2"/>
      <c r="E613" s="3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2"/>
      <c r="E614" s="3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2"/>
      <c r="E615" s="3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2"/>
      <c r="E616" s="3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2"/>
      <c r="E617" s="3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2"/>
      <c r="E618" s="3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2"/>
      <c r="E619" s="3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2"/>
      <c r="E620" s="3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2"/>
      <c r="E621" s="3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2"/>
      <c r="E622" s="3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2"/>
      <c r="E623" s="3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2"/>
      <c r="E624" s="3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2"/>
      <c r="E625" s="3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2"/>
      <c r="E626" s="3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2"/>
      <c r="E627" s="3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2"/>
      <c r="E628" s="3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2"/>
      <c r="E629" s="3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2"/>
      <c r="E630" s="3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2"/>
      <c r="E631" s="3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2"/>
      <c r="E632" s="3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2"/>
      <c r="E633" s="3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2"/>
      <c r="E634" s="3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2"/>
      <c r="E635" s="3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2"/>
      <c r="E636" s="3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2"/>
      <c r="E637" s="3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2"/>
      <c r="E638" s="3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2"/>
      <c r="E639" s="3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2"/>
      <c r="E640" s="3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2"/>
      <c r="E641" s="3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2"/>
      <c r="E642" s="3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2"/>
      <c r="E643" s="3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2"/>
      <c r="E644" s="3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2"/>
      <c r="E645" s="3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2"/>
      <c r="E646" s="3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2"/>
      <c r="E647" s="3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2"/>
      <c r="E648" s="3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2"/>
      <c r="E649" s="3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2"/>
      <c r="E650" s="3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2"/>
      <c r="E651" s="3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2"/>
      <c r="E652" s="3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2"/>
      <c r="E653" s="3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2"/>
      <c r="E654" s="3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2"/>
      <c r="E655" s="3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2"/>
      <c r="E656" s="3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2"/>
      <c r="E657" s="3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2"/>
      <c r="E658" s="3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2"/>
      <c r="E659" s="3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2"/>
      <c r="E660" s="3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2"/>
      <c r="E661" s="3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2"/>
      <c r="E662" s="3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2"/>
      <c r="E663" s="3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2"/>
      <c r="E664" s="3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2"/>
      <c r="E665" s="3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2"/>
      <c r="E666" s="3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2"/>
      <c r="E667" s="3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2"/>
      <c r="E668" s="3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2"/>
      <c r="E669" s="3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2"/>
      <c r="E670" s="3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2"/>
      <c r="E671" s="3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2"/>
      <c r="E672" s="3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2"/>
      <c r="E673" s="3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2"/>
      <c r="E674" s="3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2"/>
      <c r="E675" s="3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2"/>
      <c r="E676" s="3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2"/>
      <c r="E677" s="3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2"/>
      <c r="E678" s="3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2"/>
      <c r="E679" s="3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2"/>
      <c r="E680" s="3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2"/>
      <c r="E681" s="3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2"/>
      <c r="E682" s="3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2"/>
      <c r="E683" s="3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2"/>
      <c r="E684" s="3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2"/>
      <c r="E685" s="3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2"/>
      <c r="E686" s="3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2"/>
      <c r="E687" s="3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2"/>
      <c r="E688" s="3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2"/>
      <c r="E689" s="3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2"/>
      <c r="E690" s="3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2"/>
      <c r="E691" s="3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2"/>
      <c r="E692" s="3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2"/>
      <c r="E693" s="3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2"/>
      <c r="E694" s="3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2"/>
      <c r="E695" s="3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2"/>
      <c r="E696" s="3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2"/>
      <c r="E697" s="3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2"/>
      <c r="E698" s="3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2"/>
      <c r="E699" s="3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2"/>
      <c r="E700" s="3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2"/>
      <c r="E701" s="3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2"/>
      <c r="E702" s="3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2"/>
      <c r="E703" s="3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2"/>
      <c r="E704" s="3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2"/>
      <c r="E705" s="3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2"/>
      <c r="E706" s="3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2"/>
      <c r="E707" s="3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2"/>
      <c r="E708" s="3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2"/>
      <c r="E709" s="3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2"/>
      <c r="E710" s="3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2"/>
      <c r="E711" s="3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2"/>
      <c r="E712" s="3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2"/>
      <c r="E713" s="3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2"/>
      <c r="E714" s="3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2"/>
      <c r="E715" s="3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2"/>
      <c r="E716" s="3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2"/>
      <c r="E717" s="3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2"/>
      <c r="E718" s="3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2"/>
      <c r="E719" s="3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2"/>
      <c r="E720" s="3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2"/>
      <c r="E721" s="3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2"/>
      <c r="E722" s="3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2"/>
      <c r="E723" s="3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2"/>
      <c r="E724" s="3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2"/>
      <c r="E725" s="3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2"/>
      <c r="E726" s="3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2"/>
      <c r="E727" s="3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2"/>
      <c r="E728" s="3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2"/>
      <c r="E729" s="3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2"/>
      <c r="E730" s="3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2"/>
      <c r="E731" s="3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2"/>
      <c r="E732" s="3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2"/>
      <c r="E733" s="3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2"/>
      <c r="E734" s="3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2"/>
      <c r="E735" s="3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2"/>
      <c r="E736" s="3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2"/>
      <c r="E737" s="3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2"/>
      <c r="E738" s="3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2"/>
      <c r="E739" s="3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2"/>
      <c r="E740" s="3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2"/>
      <c r="E741" s="3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2"/>
      <c r="E742" s="3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2"/>
      <c r="E743" s="3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2"/>
      <c r="E744" s="3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2"/>
      <c r="E745" s="3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2"/>
      <c r="E746" s="3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2"/>
      <c r="E747" s="3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2"/>
      <c r="E748" s="3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2"/>
      <c r="E749" s="3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2"/>
      <c r="E750" s="3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2"/>
      <c r="E751" s="3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2"/>
      <c r="E752" s="3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2"/>
      <c r="E753" s="3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2"/>
      <c r="E754" s="3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2"/>
      <c r="E755" s="3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2"/>
      <c r="E756" s="3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2"/>
      <c r="E757" s="3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2"/>
      <c r="E758" s="3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2"/>
      <c r="E759" s="3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2"/>
      <c r="E760" s="3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2"/>
      <c r="E761" s="3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2"/>
      <c r="E762" s="3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2"/>
      <c r="E763" s="3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2"/>
      <c r="E764" s="3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2"/>
      <c r="E765" s="3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2"/>
      <c r="E766" s="3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2"/>
      <c r="E767" s="3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2"/>
      <c r="E768" s="3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2"/>
      <c r="E769" s="3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2"/>
      <c r="E770" s="3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2"/>
      <c r="E771" s="3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2"/>
      <c r="E772" s="3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2"/>
      <c r="E773" s="3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2"/>
      <c r="E774" s="3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2"/>
      <c r="E775" s="3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2"/>
      <c r="E776" s="3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2"/>
      <c r="E777" s="3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2"/>
      <c r="E778" s="3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2"/>
      <c r="E779" s="3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2"/>
      <c r="E780" s="3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2"/>
      <c r="E781" s="3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2"/>
      <c r="E782" s="3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2"/>
      <c r="E783" s="3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2"/>
      <c r="E784" s="3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2"/>
      <c r="E785" s="3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2"/>
      <c r="E786" s="3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2"/>
      <c r="E787" s="3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2"/>
      <c r="E788" s="3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2"/>
      <c r="E789" s="3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2"/>
      <c r="E790" s="3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2"/>
      <c r="E791" s="3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2"/>
      <c r="E792" s="3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2"/>
      <c r="E793" s="3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2"/>
      <c r="E794" s="3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2"/>
      <c r="E795" s="3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2"/>
      <c r="E796" s="3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2"/>
      <c r="E797" s="3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2"/>
      <c r="E798" s="3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2"/>
      <c r="E799" s="3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2"/>
      <c r="E800" s="3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2"/>
      <c r="E801" s="3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2"/>
      <c r="E802" s="3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2"/>
      <c r="E803" s="3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2"/>
      <c r="E804" s="3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2"/>
      <c r="E805" s="3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2"/>
      <c r="E806" s="3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2"/>
      <c r="E807" s="3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2"/>
      <c r="E808" s="3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2"/>
      <c r="E809" s="3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2"/>
      <c r="E810" s="3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2"/>
      <c r="E811" s="3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2"/>
      <c r="E812" s="3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2"/>
      <c r="E813" s="3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2"/>
      <c r="E814" s="3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2"/>
      <c r="E815" s="3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2"/>
      <c r="E816" s="3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2"/>
      <c r="E817" s="3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2"/>
      <c r="E818" s="3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2"/>
      <c r="E819" s="3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2"/>
      <c r="E820" s="3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2"/>
      <c r="E821" s="3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2"/>
      <c r="E822" s="3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2"/>
      <c r="E823" s="3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2"/>
      <c r="E824" s="3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2"/>
      <c r="E825" s="3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2"/>
      <c r="E826" s="3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2"/>
      <c r="E827" s="3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2"/>
      <c r="E828" s="3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2"/>
      <c r="E829" s="3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2"/>
      <c r="E830" s="3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2"/>
      <c r="E831" s="3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2"/>
      <c r="E832" s="3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2"/>
      <c r="E833" s="3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2"/>
      <c r="E834" s="3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2"/>
      <c r="E835" s="3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2"/>
      <c r="E836" s="3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2"/>
      <c r="E837" s="3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2"/>
      <c r="E838" s="3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2"/>
      <c r="E839" s="3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2"/>
      <c r="E840" s="3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2"/>
      <c r="E841" s="3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2"/>
      <c r="E842" s="3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2"/>
      <c r="E843" s="3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2"/>
      <c r="E844" s="3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2"/>
      <c r="E845" s="3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2"/>
      <c r="E846" s="3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2"/>
      <c r="E847" s="3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2"/>
      <c r="E848" s="3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2"/>
      <c r="E849" s="3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2"/>
      <c r="E850" s="3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2"/>
      <c r="E851" s="3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2"/>
      <c r="E852" s="3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2"/>
      <c r="E853" s="3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2"/>
      <c r="E854" s="3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2"/>
      <c r="E855" s="3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2"/>
      <c r="E856" s="3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2"/>
      <c r="E857" s="3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2"/>
      <c r="E858" s="3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2"/>
      <c r="E859" s="3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2"/>
      <c r="E860" s="3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2"/>
      <c r="E861" s="3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2"/>
      <c r="E862" s="3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2"/>
      <c r="E863" s="3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2"/>
      <c r="E864" s="3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2"/>
      <c r="E865" s="3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2"/>
      <c r="E866" s="3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2"/>
      <c r="E867" s="3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2"/>
      <c r="E868" s="3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2"/>
      <c r="E869" s="3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2"/>
      <c r="E870" s="3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2"/>
      <c r="E871" s="3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2"/>
      <c r="E872" s="3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2"/>
      <c r="E873" s="3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2"/>
      <c r="E874" s="3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2"/>
      <c r="E875" s="3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2"/>
      <c r="E876" s="3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2"/>
      <c r="E877" s="3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2"/>
      <c r="E878" s="3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2"/>
      <c r="E879" s="3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2"/>
      <c r="E880" s="3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2"/>
      <c r="E881" s="3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2"/>
      <c r="E882" s="3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2"/>
      <c r="E883" s="3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2"/>
      <c r="E884" s="3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2"/>
      <c r="E885" s="3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2"/>
      <c r="E886" s="3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2"/>
      <c r="E887" s="3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2"/>
      <c r="E888" s="3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2"/>
      <c r="E889" s="3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2"/>
      <c r="E890" s="3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2"/>
      <c r="E891" s="3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2"/>
      <c r="E892" s="3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2"/>
      <c r="E893" s="3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2"/>
      <c r="E894" s="3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2"/>
      <c r="E895" s="3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2"/>
      <c r="E896" s="3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2"/>
      <c r="E897" s="3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2"/>
      <c r="E898" s="3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2"/>
      <c r="E899" s="3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2"/>
      <c r="E900" s="3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2"/>
      <c r="E901" s="3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2"/>
      <c r="E902" s="3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2"/>
      <c r="E903" s="3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2"/>
      <c r="E904" s="3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2"/>
      <c r="E905" s="3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2"/>
      <c r="E906" s="3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2"/>
      <c r="E907" s="3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2"/>
      <c r="E908" s="3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2"/>
      <c r="E909" s="3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2"/>
      <c r="E910" s="3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2"/>
      <c r="E911" s="3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2"/>
      <c r="E912" s="3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2"/>
      <c r="E913" s="3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2"/>
      <c r="E914" s="3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2"/>
      <c r="E915" s="3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2"/>
      <c r="E916" s="3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2"/>
      <c r="E917" s="3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2"/>
      <c r="E918" s="3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2"/>
      <c r="E919" s="3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2"/>
      <c r="E920" s="3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2"/>
      <c r="E921" s="3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2"/>
      <c r="E922" s="3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2"/>
      <c r="E923" s="3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2"/>
      <c r="E924" s="3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2"/>
      <c r="E925" s="3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2"/>
      <c r="E926" s="3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2"/>
      <c r="E927" s="3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2"/>
      <c r="E928" s="3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2"/>
      <c r="E929" s="3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2"/>
      <c r="E930" s="3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2"/>
      <c r="E931" s="3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2"/>
      <c r="E932" s="3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2"/>
      <c r="E933" s="3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2"/>
      <c r="E934" s="3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2"/>
      <c r="E935" s="3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2"/>
      <c r="E936" s="3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2"/>
      <c r="E937" s="3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2"/>
      <c r="E938" s="3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2"/>
      <c r="E939" s="3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2"/>
      <c r="E940" s="3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2"/>
      <c r="E941" s="3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2"/>
      <c r="E942" s="3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2"/>
      <c r="E943" s="3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2"/>
      <c r="E944" s="3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2"/>
      <c r="E945" s="3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2"/>
      <c r="E946" s="3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2"/>
      <c r="E947" s="3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2"/>
      <c r="E948" s="3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2"/>
      <c r="E949" s="3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2"/>
      <c r="E950" s="3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2"/>
      <c r="E951" s="3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2"/>
      <c r="E952" s="3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2"/>
      <c r="E953" s="3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2"/>
      <c r="E954" s="3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2"/>
      <c r="E955" s="3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2"/>
      <c r="E956" s="3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2"/>
      <c r="E957" s="3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2"/>
      <c r="E958" s="3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2"/>
      <c r="E959" s="3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2"/>
      <c r="E960" s="3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2"/>
      <c r="E961" s="3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2"/>
      <c r="E962" s="3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2"/>
      <c r="E963" s="3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2"/>
      <c r="E964" s="3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2"/>
      <c r="E965" s="3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2"/>
      <c r="E966" s="3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2"/>
      <c r="E967" s="3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2"/>
      <c r="E968" s="3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2"/>
      <c r="E969" s="3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2"/>
      <c r="E970" s="3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2"/>
      <c r="E971" s="3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2"/>
      <c r="E972" s="3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2"/>
      <c r="E973" s="3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2"/>
      <c r="E974" s="3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2"/>
      <c r="E975" s="3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2"/>
      <c r="E976" s="3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2"/>
      <c r="E977" s="3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2"/>
      <c r="E978" s="3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2"/>
      <c r="E979" s="3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2"/>
      <c r="E980" s="3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2"/>
      <c r="E981" s="3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2"/>
      <c r="E982" s="3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2"/>
      <c r="E983" s="3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2"/>
      <c r="E984" s="3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2"/>
      <c r="E985" s="3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2"/>
      <c r="E986" s="3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2"/>
      <c r="E987" s="3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2"/>
      <c r="E988" s="3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2"/>
      <c r="E989" s="3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2"/>
      <c r="E990" s="3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2"/>
      <c r="E991" s="3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2"/>
      <c r="E992" s="3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2"/>
      <c r="E993" s="3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2"/>
      <c r="E994" s="3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2"/>
      <c r="E995" s="3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2"/>
      <c r="E996" s="3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2"/>
      <c r="E997" s="3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2"/>
      <c r="E998" s="3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2"/>
      <c r="E999" s="3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2"/>
      <c r="E1000" s="3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ht="15.75" customHeight="1">
      <c r="A1001" s="1"/>
      <c r="B1001" s="1"/>
      <c r="C1001" s="1"/>
      <c r="D1001" s="2"/>
      <c r="E1001" s="3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  <row r="1002" ht="15.75" customHeight="1">
      <c r="A1002" s="1"/>
      <c r="B1002" s="1"/>
      <c r="C1002" s="1"/>
      <c r="D1002" s="2"/>
      <c r="E1002" s="3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</row>
    <row r="1003" ht="15.75" customHeight="1">
      <c r="A1003" s="1"/>
      <c r="B1003" s="1"/>
      <c r="C1003" s="1"/>
      <c r="D1003" s="2"/>
      <c r="E1003" s="3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</row>
    <row r="1004" ht="15.75" customHeight="1">
      <c r="A1004" s="1"/>
      <c r="B1004" s="1"/>
      <c r="C1004" s="1"/>
      <c r="D1004" s="2"/>
      <c r="E1004" s="3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</row>
    <row r="1005" ht="15.75" customHeight="1">
      <c r="A1005" s="1"/>
      <c r="B1005" s="1"/>
      <c r="C1005" s="1"/>
      <c r="D1005" s="2"/>
      <c r="E1005" s="3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</row>
    <row r="1006" ht="15.75" customHeight="1">
      <c r="A1006" s="1"/>
      <c r="B1006" s="1"/>
      <c r="C1006" s="1"/>
      <c r="D1006" s="2"/>
      <c r="E1006" s="3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</row>
    <row r="1007" ht="15.75" customHeight="1">
      <c r="A1007" s="1"/>
      <c r="B1007" s="1"/>
      <c r="C1007" s="1"/>
      <c r="D1007" s="2"/>
      <c r="E1007" s="3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</row>
    <row r="1008" ht="15.75" customHeight="1">
      <c r="A1008" s="1"/>
      <c r="B1008" s="1"/>
      <c r="C1008" s="1"/>
      <c r="D1008" s="2"/>
      <c r="E1008" s="3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</row>
    <row r="1009" ht="15.75" customHeight="1">
      <c r="A1009" s="1"/>
      <c r="B1009" s="1"/>
      <c r="C1009" s="1"/>
      <c r="D1009" s="2"/>
      <c r="E1009" s="3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</row>
    <row r="1010" ht="15.75" customHeight="1">
      <c r="A1010" s="1"/>
      <c r="B1010" s="1"/>
      <c r="C1010" s="1"/>
      <c r="D1010" s="2"/>
      <c r="E1010" s="3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</row>
    <row r="1011" ht="15.75" customHeight="1">
      <c r="A1011" s="1"/>
      <c r="B1011" s="1"/>
      <c r="C1011" s="1"/>
      <c r="D1011" s="2"/>
      <c r="E1011" s="3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</row>
    <row r="1012" ht="15.75" customHeight="1">
      <c r="A1012" s="1"/>
      <c r="B1012" s="1"/>
      <c r="C1012" s="1"/>
      <c r="D1012" s="2"/>
      <c r="E1012" s="3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</row>
    <row r="1013" ht="15.75" customHeight="1">
      <c r="A1013" s="1"/>
      <c r="B1013" s="1"/>
      <c r="C1013" s="1"/>
      <c r="D1013" s="2"/>
      <c r="E1013" s="3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</row>
  </sheetData>
  <mergeCells count="10">
    <mergeCell ref="B63:F63"/>
    <mergeCell ref="B67:F67"/>
    <mergeCell ref="B72:D72"/>
    <mergeCell ref="B2:G2"/>
    <mergeCell ref="C12:F12"/>
    <mergeCell ref="C29:E29"/>
    <mergeCell ref="C32:E32"/>
    <mergeCell ref="B49:F49"/>
    <mergeCell ref="B50:F50"/>
    <mergeCell ref="B62:F62"/>
  </mergeCells>
  <dataValidations>
    <dataValidation type="decimal" allowBlank="1" showInputMessage="1" showErrorMessage="1" prompt="Entre 1 y 9 personas." sqref="B89">
      <formula1>1.0</formula1>
      <formula2>9.0</formula2>
    </dataValidation>
  </dataValidations>
  <hyperlinks>
    <hyperlink r:id="rId2" location="v=onepage&amp;q=e7%20part-time%20members&amp;f=false" ref="H36"/>
    <hyperlink r:id="rId3" location="v=onepage&amp;q=e7%20part-time%20members&amp;f=false" ref="H54"/>
  </hyperlinks>
  <printOptions/>
  <pageMargins bottom="1.0" footer="0.0" header="0.0" left="0.75" right="0.75" top="1.0"/>
  <pageSetup orientation="portrait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7.75"/>
    <col customWidth="1" min="2" max="2" width="32.13"/>
    <col customWidth="1" min="3" max="3" width="33.38"/>
    <col customWidth="1" min="4" max="4" width="38.63"/>
    <col customWidth="1" min="5" max="5" width="13.63"/>
    <col customWidth="1" min="6" max="6" width="16.13"/>
    <col customWidth="1" min="7" max="7" width="16.75"/>
    <col customWidth="1" min="8" max="8" width="34.38"/>
    <col customWidth="1" min="9" max="9" width="10.63"/>
    <col customWidth="1" min="10" max="10" width="13.75"/>
    <col customWidth="1" min="11" max="26" width="9.13"/>
  </cols>
  <sheetData>
    <row r="1" ht="27.75" customHeight="1">
      <c r="A1" s="1"/>
      <c r="B1" s="1"/>
      <c r="C1" s="1"/>
      <c r="D1" s="2"/>
      <c r="E1" s="3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7.75" customHeight="1">
      <c r="A2" s="4"/>
      <c r="B2" s="5" t="s">
        <v>0</v>
      </c>
      <c r="C2" s="6"/>
      <c r="D2" s="6"/>
      <c r="E2" s="6"/>
      <c r="F2" s="6"/>
      <c r="G2" s="7"/>
      <c r="H2" s="8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7.75" customHeight="1">
      <c r="A3" s="4"/>
      <c r="B3" s="9" t="s">
        <v>1</v>
      </c>
      <c r="C3" s="10" t="s">
        <v>2</v>
      </c>
      <c r="D3" s="11"/>
      <c r="E3" s="11"/>
      <c r="F3" s="11"/>
      <c r="G3" s="12"/>
      <c r="H3" s="13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7.75" customHeight="1">
      <c r="A4" s="4"/>
      <c r="B4" s="14" t="s">
        <v>3</v>
      </c>
      <c r="C4" s="15" t="s">
        <v>4</v>
      </c>
      <c r="D4" s="16"/>
      <c r="E4" s="16"/>
      <c r="F4" s="16"/>
      <c r="G4" s="17"/>
      <c r="H4" s="13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7.75" customHeight="1">
      <c r="A5" s="1"/>
      <c r="B5" s="18"/>
      <c r="C5" s="1"/>
      <c r="D5" s="19"/>
      <c r="E5" s="19"/>
      <c r="F5" s="19"/>
      <c r="G5" s="19"/>
      <c r="H5" s="19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7.75" customHeight="1">
      <c r="A6" s="1"/>
      <c r="B6" s="1"/>
      <c r="C6" s="1"/>
      <c r="D6" s="2"/>
      <c r="E6" s="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75" customHeight="1">
      <c r="A7" s="20" t="s">
        <v>5</v>
      </c>
      <c r="B7" s="21" t="s">
        <v>6</v>
      </c>
      <c r="C7" s="22" t="s">
        <v>7</v>
      </c>
      <c r="D7" s="22" t="s">
        <v>8</v>
      </c>
      <c r="E7" s="21" t="s">
        <v>9</v>
      </c>
      <c r="F7" s="21" t="s">
        <v>10</v>
      </c>
      <c r="G7" s="21" t="s">
        <v>11</v>
      </c>
      <c r="H7" s="19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</row>
    <row r="8" ht="27.75" customHeight="1">
      <c r="A8" s="1"/>
      <c r="B8" s="23" t="s">
        <v>12</v>
      </c>
      <c r="C8" s="24" t="s">
        <v>13</v>
      </c>
      <c r="D8" s="24" t="s">
        <v>14</v>
      </c>
      <c r="E8" s="25">
        <v>3.0</v>
      </c>
      <c r="F8" s="26">
        <v>1.0</v>
      </c>
      <c r="G8" s="25">
        <v>1.0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27.75" customHeight="1">
      <c r="A9" s="1"/>
      <c r="B9" s="27" t="s">
        <v>15</v>
      </c>
      <c r="C9" s="28" t="s">
        <v>13</v>
      </c>
      <c r="D9" s="28" t="s">
        <v>16</v>
      </c>
      <c r="E9" s="29">
        <v>3.0</v>
      </c>
      <c r="F9" s="30">
        <v>1.0</v>
      </c>
      <c r="G9" s="29">
        <v>1.0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27.75" customHeight="1">
      <c r="A10" s="1"/>
      <c r="B10" s="27" t="s">
        <v>17</v>
      </c>
      <c r="C10" s="28" t="s">
        <v>13</v>
      </c>
      <c r="D10" s="28" t="s">
        <v>18</v>
      </c>
      <c r="E10" s="29">
        <v>3.0</v>
      </c>
      <c r="F10" s="30">
        <v>1.0</v>
      </c>
      <c r="G10" s="29">
        <v>1.0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27.75" customHeight="1">
      <c r="A11" s="1"/>
      <c r="B11" s="27"/>
      <c r="C11" s="28"/>
      <c r="D11" s="28"/>
      <c r="E11" s="29"/>
      <c r="F11" s="30"/>
      <c r="G11" s="29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27.75" customHeight="1">
      <c r="A12" s="1"/>
      <c r="B12" s="31"/>
      <c r="C12" s="32" t="s">
        <v>19</v>
      </c>
      <c r="D12" s="6"/>
      <c r="E12" s="6"/>
      <c r="F12" s="7"/>
      <c r="G12" s="33">
        <f>SUM(G8:G11)</f>
        <v>3</v>
      </c>
      <c r="H12" s="20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27.75" customHeight="1">
      <c r="A13" s="1"/>
      <c r="B13" s="20"/>
      <c r="C13" s="34"/>
      <c r="D13" s="3"/>
      <c r="E13" s="3"/>
      <c r="F13" s="3"/>
      <c r="G13" s="35"/>
      <c r="H13" s="20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27.75" customHeight="1">
      <c r="A14" s="1"/>
      <c r="B14" s="20"/>
      <c r="C14" s="36"/>
      <c r="D14" s="36"/>
      <c r="E14" s="37"/>
      <c r="F14" s="20"/>
      <c r="G14" s="20"/>
      <c r="H14" s="20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27.75" customHeight="1">
      <c r="A15" s="20" t="s">
        <v>20</v>
      </c>
      <c r="B15" s="21" t="s">
        <v>21</v>
      </c>
      <c r="C15" s="21" t="s">
        <v>22</v>
      </c>
      <c r="D15" s="22" t="s">
        <v>23</v>
      </c>
      <c r="E15" s="22" t="s">
        <v>24</v>
      </c>
      <c r="F15" s="21" t="s">
        <v>9</v>
      </c>
      <c r="G15" s="19"/>
      <c r="H15" s="19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38"/>
      <c r="U15" s="1"/>
      <c r="V15" s="1"/>
      <c r="W15" s="1"/>
      <c r="X15" s="1"/>
      <c r="Y15" s="1"/>
      <c r="Z15" s="1"/>
    </row>
    <row r="16" ht="27.75" customHeight="1">
      <c r="A16" s="1"/>
      <c r="B16" s="87" t="s">
        <v>138</v>
      </c>
      <c r="C16" s="88"/>
      <c r="D16" s="89">
        <v>2.0</v>
      </c>
      <c r="E16" s="90" t="s">
        <v>26</v>
      </c>
      <c r="F16" s="90">
        <v>5.0</v>
      </c>
      <c r="G16" s="1"/>
      <c r="H16" s="1"/>
      <c r="I16" s="1"/>
      <c r="J16" s="1"/>
      <c r="K16" s="38"/>
      <c r="L16" s="1"/>
      <c r="M16" s="1"/>
      <c r="N16" s="1"/>
      <c r="O16" s="1"/>
      <c r="P16" s="1"/>
      <c r="Q16" s="1"/>
      <c r="R16" s="1"/>
      <c r="S16" s="1"/>
      <c r="T16" s="38"/>
      <c r="U16" s="1"/>
      <c r="V16" s="1"/>
      <c r="W16" s="1"/>
      <c r="X16" s="1"/>
      <c r="Y16" s="1"/>
      <c r="Z16" s="1"/>
    </row>
    <row r="17" ht="27.75" customHeight="1">
      <c r="A17" s="1"/>
      <c r="B17" s="87" t="s">
        <v>31</v>
      </c>
      <c r="C17" s="91"/>
      <c r="D17" s="92">
        <v>10.0</v>
      </c>
      <c r="E17" s="93" t="s">
        <v>13</v>
      </c>
      <c r="F17" s="93">
        <v>15.0</v>
      </c>
      <c r="G17" s="1"/>
      <c r="H17" s="1"/>
      <c r="I17" s="1"/>
      <c r="J17" s="1"/>
      <c r="K17" s="38"/>
      <c r="L17" s="1"/>
      <c r="M17" s="1"/>
      <c r="N17" s="1"/>
      <c r="O17" s="1"/>
      <c r="P17" s="1"/>
      <c r="Q17" s="1"/>
      <c r="R17" s="1"/>
      <c r="S17" s="1"/>
      <c r="T17" s="38"/>
      <c r="U17" s="1"/>
      <c r="V17" s="1"/>
      <c r="W17" s="1"/>
      <c r="X17" s="1"/>
      <c r="Y17" s="1"/>
      <c r="Z17" s="1"/>
    </row>
    <row r="18" ht="27.75" customHeight="1">
      <c r="A18" s="1"/>
      <c r="B18" s="87" t="s">
        <v>139</v>
      </c>
      <c r="C18" s="91"/>
      <c r="D18" s="92">
        <v>4.0</v>
      </c>
      <c r="E18" s="90" t="s">
        <v>28</v>
      </c>
      <c r="F18" s="90">
        <v>10.0</v>
      </c>
      <c r="G18" s="1"/>
      <c r="H18" s="1"/>
      <c r="I18" s="1"/>
      <c r="J18" s="1"/>
      <c r="K18" s="38"/>
      <c r="L18" s="1"/>
      <c r="M18" s="1"/>
      <c r="N18" s="1"/>
      <c r="O18" s="1"/>
      <c r="P18" s="1"/>
      <c r="Q18" s="1"/>
      <c r="R18" s="1"/>
      <c r="S18" s="1"/>
      <c r="T18" s="38"/>
      <c r="U18" s="1"/>
      <c r="V18" s="1"/>
      <c r="W18" s="1"/>
      <c r="X18" s="1"/>
      <c r="Y18" s="1"/>
      <c r="Z18" s="1"/>
    </row>
    <row r="19" ht="27.75" customHeight="1">
      <c r="A19" s="1"/>
      <c r="B19" s="43"/>
      <c r="C19" s="44"/>
      <c r="D19" s="45"/>
      <c r="E19" s="46"/>
      <c r="F19" s="46"/>
      <c r="G19" s="1"/>
      <c r="H19" s="1"/>
      <c r="I19" s="1"/>
      <c r="J19" s="1"/>
      <c r="K19" s="38"/>
      <c r="L19" s="1"/>
      <c r="M19" s="1"/>
      <c r="N19" s="1"/>
      <c r="O19" s="1"/>
      <c r="P19" s="1"/>
      <c r="Q19" s="1"/>
      <c r="R19" s="1"/>
      <c r="S19" s="1"/>
      <c r="T19" s="38"/>
      <c r="U19" s="1"/>
      <c r="V19" s="1"/>
      <c r="W19" s="1"/>
      <c r="X19" s="1"/>
      <c r="Y19" s="1"/>
      <c r="Z19" s="1"/>
    </row>
    <row r="20" ht="27.75" customHeight="1">
      <c r="A20" s="1"/>
      <c r="B20" s="43"/>
      <c r="C20" s="44"/>
      <c r="D20" s="47"/>
      <c r="E20" s="46"/>
      <c r="F20" s="46"/>
      <c r="G20" s="1"/>
      <c r="H20" s="1"/>
      <c r="I20" s="1"/>
      <c r="J20" s="1"/>
      <c r="K20" s="38"/>
      <c r="L20" s="1"/>
      <c r="M20" s="1"/>
      <c r="N20" s="1"/>
      <c r="O20" s="1"/>
      <c r="P20" s="1"/>
      <c r="Q20" s="1"/>
      <c r="R20" s="1"/>
      <c r="S20" s="1"/>
      <c r="T20" s="38"/>
      <c r="U20" s="1"/>
      <c r="V20" s="1"/>
      <c r="W20" s="1"/>
      <c r="X20" s="1"/>
      <c r="Y20" s="1"/>
      <c r="Z20" s="1"/>
    </row>
    <row r="21" ht="27.75" customHeight="1">
      <c r="A21" s="1"/>
      <c r="B21" s="43"/>
      <c r="C21" s="44"/>
      <c r="D21" s="45"/>
      <c r="E21" s="46"/>
      <c r="F21" s="46"/>
      <c r="G21" s="1"/>
      <c r="H21" s="1"/>
      <c r="I21" s="1"/>
      <c r="J21" s="1"/>
      <c r="K21" s="38"/>
      <c r="L21" s="1"/>
      <c r="M21" s="1"/>
      <c r="N21" s="1"/>
      <c r="O21" s="1"/>
      <c r="P21" s="1"/>
      <c r="Q21" s="1"/>
      <c r="R21" s="1"/>
      <c r="S21" s="1"/>
      <c r="T21" s="38"/>
      <c r="U21" s="1"/>
      <c r="V21" s="1"/>
      <c r="W21" s="1"/>
      <c r="X21" s="1"/>
      <c r="Y21" s="1"/>
      <c r="Z21" s="1"/>
    </row>
    <row r="22" ht="27.75" customHeight="1">
      <c r="A22" s="1"/>
      <c r="B22" s="43"/>
      <c r="C22" s="44"/>
      <c r="D22" s="45"/>
      <c r="E22" s="46"/>
      <c r="F22" s="46"/>
      <c r="G22" s="1"/>
      <c r="H22" s="1"/>
      <c r="I22" s="1"/>
      <c r="J22" s="1"/>
      <c r="K22" s="38"/>
      <c r="L22" s="1"/>
      <c r="M22" s="1"/>
      <c r="N22" s="1"/>
      <c r="O22" s="1"/>
      <c r="P22" s="1"/>
      <c r="Q22" s="1"/>
      <c r="R22" s="1"/>
      <c r="S22" s="1"/>
      <c r="T22" s="38"/>
      <c r="U22" s="1"/>
      <c r="V22" s="1"/>
      <c r="W22" s="1"/>
      <c r="X22" s="1"/>
      <c r="Y22" s="1"/>
      <c r="Z22" s="1"/>
    </row>
    <row r="23" ht="27.75" customHeight="1">
      <c r="A23" s="1"/>
      <c r="B23" s="43"/>
      <c r="C23" s="44"/>
      <c r="D23" s="45"/>
      <c r="E23" s="46"/>
      <c r="F23" s="46"/>
      <c r="G23" s="1"/>
      <c r="H23" s="1"/>
      <c r="I23" s="1"/>
      <c r="J23" s="1"/>
      <c r="K23" s="38"/>
      <c r="L23" s="1"/>
      <c r="M23" s="1"/>
      <c r="N23" s="1"/>
      <c r="O23" s="1"/>
      <c r="P23" s="1"/>
      <c r="Q23" s="1"/>
      <c r="R23" s="1"/>
      <c r="S23" s="1"/>
      <c r="T23" s="38"/>
      <c r="U23" s="1"/>
      <c r="V23" s="1"/>
      <c r="W23" s="1"/>
      <c r="X23" s="1"/>
      <c r="Y23" s="1"/>
      <c r="Z23" s="1"/>
    </row>
    <row r="24" ht="27.75" customHeight="1">
      <c r="A24" s="1"/>
      <c r="B24" s="43"/>
      <c r="C24" s="44"/>
      <c r="D24" s="45"/>
      <c r="E24" s="46"/>
      <c r="F24" s="46"/>
      <c r="G24" s="1"/>
      <c r="H24" s="1"/>
      <c r="I24" s="1"/>
      <c r="J24" s="1"/>
      <c r="K24" s="38"/>
      <c r="L24" s="1"/>
      <c r="M24" s="1"/>
      <c r="N24" s="1"/>
      <c r="O24" s="1"/>
      <c r="P24" s="1"/>
      <c r="Q24" s="1"/>
      <c r="R24" s="1"/>
      <c r="S24" s="1"/>
      <c r="T24" s="38"/>
      <c r="U24" s="1"/>
      <c r="V24" s="1"/>
      <c r="W24" s="1"/>
      <c r="X24" s="1"/>
      <c r="Y24" s="1"/>
      <c r="Z24" s="1"/>
    </row>
    <row r="25" ht="27.75" customHeight="1">
      <c r="A25" s="1"/>
      <c r="B25" s="43"/>
      <c r="C25" s="44"/>
      <c r="D25" s="45"/>
      <c r="E25" s="46"/>
      <c r="F25" s="46"/>
      <c r="G25" s="1"/>
      <c r="H25" s="1"/>
      <c r="I25" s="1"/>
      <c r="J25" s="1"/>
      <c r="K25" s="38"/>
      <c r="L25" s="1"/>
      <c r="M25" s="1"/>
      <c r="N25" s="1"/>
      <c r="O25" s="1"/>
      <c r="P25" s="1"/>
      <c r="Q25" s="1"/>
      <c r="R25" s="1"/>
      <c r="S25" s="1"/>
      <c r="T25" s="38"/>
      <c r="U25" s="1"/>
      <c r="V25" s="1"/>
      <c r="W25" s="1"/>
      <c r="X25" s="1"/>
      <c r="Y25" s="1"/>
      <c r="Z25" s="1"/>
    </row>
    <row r="26" ht="27.75" customHeight="1">
      <c r="A26" s="1"/>
      <c r="B26" s="27"/>
      <c r="C26" s="48"/>
      <c r="D26" s="30"/>
      <c r="E26" s="29"/>
      <c r="F26" s="29"/>
      <c r="G26" s="1"/>
      <c r="H26" s="1"/>
      <c r="I26" s="1"/>
      <c r="J26" s="1"/>
      <c r="K26" s="38"/>
      <c r="L26" s="1"/>
      <c r="M26" s="1"/>
      <c r="N26" s="1"/>
      <c r="O26" s="1"/>
      <c r="P26" s="1"/>
      <c r="Q26" s="1"/>
      <c r="R26" s="1"/>
      <c r="S26" s="1"/>
      <c r="T26" s="38"/>
      <c r="U26" s="1"/>
      <c r="V26" s="1"/>
      <c r="W26" s="1"/>
      <c r="X26" s="1"/>
      <c r="Y26" s="1"/>
      <c r="Z26" s="1"/>
    </row>
    <row r="27" ht="27.75" customHeight="1">
      <c r="A27" s="1"/>
      <c r="B27" s="27"/>
      <c r="C27" s="48"/>
      <c r="D27" s="30"/>
      <c r="E27" s="29"/>
      <c r="F27" s="29"/>
      <c r="G27" s="1"/>
      <c r="H27" s="1"/>
      <c r="I27" s="1"/>
      <c r="J27" s="1"/>
      <c r="K27" s="38"/>
      <c r="L27" s="1"/>
      <c r="M27" s="1"/>
      <c r="N27" s="1"/>
      <c r="O27" s="1"/>
      <c r="P27" s="1"/>
      <c r="Q27" s="1"/>
      <c r="R27" s="1"/>
      <c r="S27" s="1"/>
      <c r="T27" s="38"/>
      <c r="U27" s="1"/>
      <c r="V27" s="1"/>
      <c r="W27" s="1"/>
      <c r="X27" s="1"/>
      <c r="Y27" s="1"/>
      <c r="Z27" s="1"/>
    </row>
    <row r="28" ht="27.75" customHeight="1">
      <c r="A28" s="1"/>
      <c r="B28" s="27"/>
      <c r="C28" s="48"/>
      <c r="D28" s="30"/>
      <c r="E28" s="29"/>
      <c r="F28" s="29"/>
      <c r="G28" s="1"/>
      <c r="H28" s="1"/>
      <c r="I28" s="1"/>
      <c r="J28" s="1"/>
      <c r="K28" s="38"/>
      <c r="L28" s="1"/>
      <c r="M28" s="1"/>
      <c r="N28" s="1"/>
      <c r="O28" s="1"/>
      <c r="P28" s="1"/>
      <c r="Q28" s="1"/>
      <c r="R28" s="1"/>
      <c r="S28" s="1"/>
      <c r="T28" s="38"/>
      <c r="U28" s="1"/>
      <c r="V28" s="1"/>
      <c r="W28" s="1"/>
      <c r="X28" s="1"/>
      <c r="Y28" s="1"/>
      <c r="Z28" s="1"/>
    </row>
    <row r="29" ht="27.75" customHeight="1">
      <c r="A29" s="1"/>
      <c r="B29" s="49"/>
      <c r="C29" s="50" t="s">
        <v>37</v>
      </c>
      <c r="D29" s="51"/>
      <c r="E29" s="52"/>
      <c r="F29" s="53">
        <f>SUM(F16:F28)</f>
        <v>30</v>
      </c>
      <c r="G29" s="1"/>
      <c r="H29" s="20"/>
      <c r="I29" s="1"/>
      <c r="J29" s="1"/>
      <c r="K29" s="38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27.75" customHeight="1">
      <c r="A30" s="1"/>
      <c r="B30" s="1"/>
      <c r="C30" s="1"/>
      <c r="D30" s="2"/>
      <c r="E30" s="3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27.75" customHeight="1">
      <c r="A31" s="1"/>
      <c r="B31" s="1"/>
      <c r="C31" s="1"/>
      <c r="D31" s="2"/>
      <c r="E31" s="3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27.75" customHeight="1">
      <c r="A32" s="20" t="s">
        <v>38</v>
      </c>
      <c r="B32" s="54"/>
      <c r="C32" s="32" t="s">
        <v>140</v>
      </c>
      <c r="D32" s="6"/>
      <c r="E32" s="7"/>
      <c r="F32" s="33">
        <f>G12+F29</f>
        <v>33</v>
      </c>
      <c r="G32" s="1"/>
      <c r="H32" s="20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27.75" customHeight="1">
      <c r="A33" s="1"/>
      <c r="B33" s="1"/>
      <c r="C33" s="1"/>
      <c r="D33" s="2"/>
      <c r="E33" s="3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27.75" customHeight="1">
      <c r="A34" s="1"/>
      <c r="B34" s="3"/>
      <c r="C34" s="1"/>
      <c r="D34" s="2"/>
      <c r="E34" s="3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27.75" customHeight="1">
      <c r="A35" s="20" t="s">
        <v>40</v>
      </c>
      <c r="B35" s="22" t="s">
        <v>41</v>
      </c>
      <c r="C35" s="22" t="s">
        <v>42</v>
      </c>
      <c r="D35" s="21" t="s">
        <v>43</v>
      </c>
      <c r="E35" s="21" t="s">
        <v>9</v>
      </c>
      <c r="F35" s="21" t="s">
        <v>44</v>
      </c>
      <c r="G35" s="21" t="s">
        <v>45</v>
      </c>
      <c r="H35" s="1" t="s">
        <v>46</v>
      </c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</row>
    <row r="36" ht="27.75" customHeight="1">
      <c r="A36" s="1"/>
      <c r="B36" s="55" t="s">
        <v>47</v>
      </c>
      <c r="C36" s="55" t="s">
        <v>48</v>
      </c>
      <c r="D36" s="23" t="s">
        <v>49</v>
      </c>
      <c r="E36" s="56">
        <v>2.0</v>
      </c>
      <c r="F36" s="26">
        <v>0.0</v>
      </c>
      <c r="G36" s="56">
        <v>0.0</v>
      </c>
      <c r="H36" s="57" t="s">
        <v>50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55" t="s">
        <v>51</v>
      </c>
      <c r="C37" s="55" t="s">
        <v>48</v>
      </c>
      <c r="D37" s="27" t="s">
        <v>52</v>
      </c>
      <c r="E37" s="58">
        <v>2.0</v>
      </c>
      <c r="F37" s="30">
        <v>5.0</v>
      </c>
      <c r="G37" s="58">
        <v>10.0</v>
      </c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27.75" customHeight="1">
      <c r="A38" s="1"/>
      <c r="B38" s="55" t="s">
        <v>53</v>
      </c>
      <c r="C38" s="55" t="s">
        <v>48</v>
      </c>
      <c r="D38" s="59"/>
      <c r="E38" s="58">
        <v>1.0</v>
      </c>
      <c r="F38" s="30">
        <v>4.0</v>
      </c>
      <c r="G38" s="58">
        <v>4.0</v>
      </c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55" t="s">
        <v>54</v>
      </c>
      <c r="C39" s="55" t="s">
        <v>48</v>
      </c>
      <c r="D39" s="27" t="s">
        <v>55</v>
      </c>
      <c r="E39" s="58">
        <v>1.0</v>
      </c>
      <c r="F39" s="30">
        <v>4.0</v>
      </c>
      <c r="G39" s="58">
        <v>4.0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27.75" customHeight="1">
      <c r="A40" s="1"/>
      <c r="B40" s="55" t="s">
        <v>56</v>
      </c>
      <c r="C40" s="55" t="s">
        <v>48</v>
      </c>
      <c r="D40" s="27" t="s">
        <v>57</v>
      </c>
      <c r="E40" s="58">
        <v>1.0</v>
      </c>
      <c r="F40" s="30">
        <v>0.0</v>
      </c>
      <c r="G40" s="58">
        <v>0.0</v>
      </c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27.75" customHeight="1">
      <c r="A41" s="1"/>
      <c r="B41" s="55" t="s">
        <v>58</v>
      </c>
      <c r="C41" s="55" t="s">
        <v>48</v>
      </c>
      <c r="D41" s="27" t="s">
        <v>59</v>
      </c>
      <c r="E41" s="58">
        <v>0.5</v>
      </c>
      <c r="F41" s="30">
        <v>5.0</v>
      </c>
      <c r="G41" s="58">
        <v>2.5</v>
      </c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27.75" customHeight="1">
      <c r="A42" s="1"/>
      <c r="B42" s="55" t="s">
        <v>60</v>
      </c>
      <c r="C42" s="55" t="s">
        <v>48</v>
      </c>
      <c r="D42" s="27" t="s">
        <v>61</v>
      </c>
      <c r="E42" s="58">
        <v>0.5</v>
      </c>
      <c r="F42" s="30">
        <v>5.0</v>
      </c>
      <c r="G42" s="58">
        <v>2.5</v>
      </c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27.75" customHeight="1">
      <c r="A43" s="1"/>
      <c r="B43" s="55" t="s">
        <v>62</v>
      </c>
      <c r="C43" s="55" t="s">
        <v>48</v>
      </c>
      <c r="D43" s="27" t="s">
        <v>63</v>
      </c>
      <c r="E43" s="58">
        <v>2.0</v>
      </c>
      <c r="F43" s="30">
        <v>3.0</v>
      </c>
      <c r="G43" s="58">
        <v>6.0</v>
      </c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27.75" customHeight="1">
      <c r="A44" s="1"/>
      <c r="B44" s="55" t="s">
        <v>64</v>
      </c>
      <c r="C44" s="55" t="s">
        <v>48</v>
      </c>
      <c r="D44" s="27" t="s">
        <v>65</v>
      </c>
      <c r="E44" s="58">
        <v>1.0</v>
      </c>
      <c r="F44" s="30">
        <v>1.0</v>
      </c>
      <c r="G44" s="58">
        <v>1.0</v>
      </c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27.75" customHeight="1">
      <c r="A45" s="1"/>
      <c r="B45" s="55" t="s">
        <v>66</v>
      </c>
      <c r="C45" s="55" t="s">
        <v>48</v>
      </c>
      <c r="D45" s="27" t="s">
        <v>67</v>
      </c>
      <c r="E45" s="58">
        <v>1.0</v>
      </c>
      <c r="F45" s="30">
        <v>5.0</v>
      </c>
      <c r="G45" s="58">
        <v>5.0</v>
      </c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55" t="s">
        <v>68</v>
      </c>
      <c r="C46" s="55" t="s">
        <v>48</v>
      </c>
      <c r="D46" s="27" t="s">
        <v>69</v>
      </c>
      <c r="E46" s="58">
        <v>1.0</v>
      </c>
      <c r="F46" s="30">
        <v>5.0</v>
      </c>
      <c r="G46" s="58">
        <v>5.0</v>
      </c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55" t="s">
        <v>70</v>
      </c>
      <c r="C47" s="55" t="s">
        <v>48</v>
      </c>
      <c r="D47" s="27" t="s">
        <v>71</v>
      </c>
      <c r="E47" s="58">
        <v>1.0</v>
      </c>
      <c r="F47" s="30">
        <v>4.0</v>
      </c>
      <c r="G47" s="58">
        <v>4.0</v>
      </c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55" t="s">
        <v>72</v>
      </c>
      <c r="C48" s="55" t="s">
        <v>48</v>
      </c>
      <c r="D48" s="27" t="s">
        <v>73</v>
      </c>
      <c r="E48" s="58">
        <v>1.0</v>
      </c>
      <c r="F48" s="30">
        <v>3.0</v>
      </c>
      <c r="G48" s="58">
        <v>3.0</v>
      </c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27.75" customHeight="1">
      <c r="A49" s="1"/>
      <c r="B49" s="32" t="s">
        <v>141</v>
      </c>
      <c r="C49" s="6"/>
      <c r="D49" s="6"/>
      <c r="E49" s="6"/>
      <c r="F49" s="7"/>
      <c r="G49" s="60">
        <f>SUM(G36:G48)</f>
        <v>47</v>
      </c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27.75" customHeight="1">
      <c r="A50" s="1"/>
      <c r="B50" s="32" t="s">
        <v>142</v>
      </c>
      <c r="C50" s="6"/>
      <c r="D50" s="6"/>
      <c r="E50" s="6"/>
      <c r="F50" s="7"/>
      <c r="G50" s="53">
        <f>0.6+(0.01*G49)</f>
        <v>1.07</v>
      </c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27.75" customHeight="1">
      <c r="A51" s="1"/>
      <c r="B51" s="34"/>
      <c r="C51" s="3"/>
      <c r="D51" s="3"/>
      <c r="E51" s="3"/>
      <c r="F51" s="3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27.75" customHeight="1">
      <c r="A52" s="1"/>
      <c r="B52" s="61"/>
      <c r="C52" s="61"/>
      <c r="D52" s="62"/>
      <c r="E52" s="61"/>
      <c r="F52" s="61"/>
      <c r="G52" s="6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20" t="s">
        <v>76</v>
      </c>
      <c r="B53" s="22" t="s">
        <v>77</v>
      </c>
      <c r="C53" s="22" t="s">
        <v>78</v>
      </c>
      <c r="D53" s="21" t="s">
        <v>79</v>
      </c>
      <c r="E53" s="21" t="s">
        <v>9</v>
      </c>
      <c r="F53" s="21" t="s">
        <v>44</v>
      </c>
      <c r="G53" s="21" t="s">
        <v>45</v>
      </c>
      <c r="H53" s="1" t="s">
        <v>80</v>
      </c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</row>
    <row r="54" ht="15.75" customHeight="1">
      <c r="A54" s="1"/>
      <c r="B54" s="63" t="s">
        <v>81</v>
      </c>
      <c r="C54" s="55" t="s">
        <v>82</v>
      </c>
      <c r="D54" s="23" t="s">
        <v>83</v>
      </c>
      <c r="E54" s="56" t="s">
        <v>84</v>
      </c>
      <c r="F54" s="26">
        <v>3.0</v>
      </c>
      <c r="G54" s="56" t="s">
        <v>85</v>
      </c>
      <c r="H54" s="57" t="s">
        <v>50</v>
      </c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63" t="s">
        <v>86</v>
      </c>
      <c r="C55" s="55" t="s">
        <v>82</v>
      </c>
      <c r="D55" s="27" t="s">
        <v>87</v>
      </c>
      <c r="E55" s="58" t="s">
        <v>88</v>
      </c>
      <c r="F55" s="30">
        <v>4.0</v>
      </c>
      <c r="G55" s="58">
        <v>2.0</v>
      </c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63" t="s">
        <v>89</v>
      </c>
      <c r="C56" s="55" t="s">
        <v>82</v>
      </c>
      <c r="D56" s="27" t="s">
        <v>90</v>
      </c>
      <c r="E56" s="58">
        <v>1.0</v>
      </c>
      <c r="F56" s="30">
        <v>4.0</v>
      </c>
      <c r="G56" s="58">
        <v>4.0</v>
      </c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63" t="s">
        <v>91</v>
      </c>
      <c r="C57" s="55" t="s">
        <v>82</v>
      </c>
      <c r="D57" s="27" t="s">
        <v>92</v>
      </c>
      <c r="E57" s="58" t="s">
        <v>88</v>
      </c>
      <c r="F57" s="30">
        <v>3.0</v>
      </c>
      <c r="G57" s="58" t="s">
        <v>84</v>
      </c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27.75" customHeight="1">
      <c r="A58" s="1"/>
      <c r="B58" s="63" t="s">
        <v>93</v>
      </c>
      <c r="C58" s="55" t="s">
        <v>94</v>
      </c>
      <c r="D58" s="27" t="s">
        <v>95</v>
      </c>
      <c r="E58" s="58">
        <v>1.0</v>
      </c>
      <c r="F58" s="30">
        <v>4.0</v>
      </c>
      <c r="G58" s="58">
        <v>4.0</v>
      </c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63" t="s">
        <v>96</v>
      </c>
      <c r="C59" s="55" t="s">
        <v>97</v>
      </c>
      <c r="D59" s="27" t="s">
        <v>98</v>
      </c>
      <c r="E59" s="58">
        <v>2.0</v>
      </c>
      <c r="F59" s="30">
        <v>2.0</v>
      </c>
      <c r="G59" s="58">
        <v>4.0</v>
      </c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63" t="s">
        <v>99</v>
      </c>
      <c r="C60" s="55" t="s">
        <v>100</v>
      </c>
      <c r="D60" s="27" t="s">
        <v>101</v>
      </c>
      <c r="E60" s="58">
        <v>-1.0</v>
      </c>
      <c r="F60" s="30">
        <v>4.0</v>
      </c>
      <c r="G60" s="58">
        <v>-4.0</v>
      </c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63" t="s">
        <v>102</v>
      </c>
      <c r="C61" s="55" t="s">
        <v>103</v>
      </c>
      <c r="D61" s="27" t="s">
        <v>104</v>
      </c>
      <c r="E61" s="58">
        <v>-1.0</v>
      </c>
      <c r="F61" s="30">
        <v>4.0</v>
      </c>
      <c r="G61" s="58">
        <v>-4.0</v>
      </c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27.75" customHeight="1">
      <c r="A62" s="1"/>
      <c r="B62" s="32" t="s">
        <v>105</v>
      </c>
      <c r="C62" s="6"/>
      <c r="D62" s="6"/>
      <c r="E62" s="6"/>
      <c r="F62" s="7"/>
      <c r="G62" s="21">
        <f>SUM(G54:G61)</f>
        <v>6</v>
      </c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27.75" customHeight="1">
      <c r="A63" s="1"/>
      <c r="B63" s="32" t="s">
        <v>143</v>
      </c>
      <c r="C63" s="6"/>
      <c r="D63" s="6"/>
      <c r="E63" s="6"/>
      <c r="F63" s="7"/>
      <c r="G63" s="21">
        <f>1.4 + (-0.03*G62)</f>
        <v>1.22</v>
      </c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27.75" customHeight="1">
      <c r="A64" s="1"/>
      <c r="B64" s="32"/>
      <c r="C64" s="64"/>
      <c r="D64" s="65"/>
      <c r="E64" s="64"/>
      <c r="F64" s="66" t="s">
        <v>107</v>
      </c>
      <c r="G64" s="21">
        <f>COUNTIF($F$54:$F$59,"&lt;3")+COUNTIF($F$60:$F$61,"&gt;3")</f>
        <v>3</v>
      </c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27.75" customHeight="1">
      <c r="A65" s="1"/>
      <c r="B65" s="34"/>
      <c r="C65" s="3"/>
      <c r="D65" s="3"/>
      <c r="E65" s="3"/>
      <c r="F65" s="3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27.75" customHeight="1">
      <c r="A66" s="1"/>
      <c r="B66" s="1"/>
      <c r="C66" s="1"/>
      <c r="D66" s="2"/>
      <c r="E66" s="3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27.75" customHeight="1">
      <c r="A67" s="20" t="s">
        <v>108</v>
      </c>
      <c r="B67" s="67" t="s">
        <v>144</v>
      </c>
      <c r="C67" s="6"/>
      <c r="D67" s="6"/>
      <c r="E67" s="6"/>
      <c r="F67" s="7"/>
      <c r="G67" s="68">
        <f>F32*G50*G63</f>
        <v>43.0782</v>
      </c>
      <c r="H67" s="94" t="s">
        <v>145</v>
      </c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27.75" customHeight="1">
      <c r="A68" s="1"/>
      <c r="B68" s="1"/>
      <c r="C68" s="1"/>
      <c r="D68" s="2"/>
      <c r="E68" s="3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27.75" customHeight="1">
      <c r="A69" s="1"/>
      <c r="B69" s="1"/>
      <c r="C69" s="1"/>
      <c r="D69" s="2"/>
      <c r="E69" s="3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69" t="s">
        <v>110</v>
      </c>
      <c r="B70" s="22" t="s">
        <v>111</v>
      </c>
      <c r="C70" s="22" t="s">
        <v>112</v>
      </c>
      <c r="D70" s="22" t="s">
        <v>113</v>
      </c>
      <c r="E70" s="3"/>
      <c r="F70" s="1"/>
      <c r="G70" s="22" t="s">
        <v>114</v>
      </c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27.75" customHeight="1">
      <c r="A71" s="1"/>
      <c r="B71" s="70">
        <v>20.0</v>
      </c>
      <c r="C71" s="70">
        <f>IF($G$64&gt;=5,36,IF(AND(G$64&gt;2,$G$64&lt;=4),28, IF(AND($G$64&gt;=0,$G$64&lt;=2),20,"error")))</f>
        <v>28</v>
      </c>
      <c r="D71" s="71">
        <f>IF($G$64&gt;=5,$G$71*(36/20),IF(AND($G$64&gt;2,$G$64&lt;=4),$G$71*(28/20), IF(AND($G$64&gt;=0,$G$64&lt;=2),$G$71,"error")))</f>
        <v>3.5</v>
      </c>
      <c r="E71" s="3"/>
      <c r="F71" s="1"/>
      <c r="G71" s="72">
        <v>2.5</v>
      </c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27.75" customHeight="1">
      <c r="A72" s="1"/>
      <c r="B72" s="73" t="s">
        <v>115</v>
      </c>
      <c r="C72" s="6"/>
      <c r="D72" s="7"/>
      <c r="E72" s="3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27.75" customHeight="1">
      <c r="A73" s="74" t="s">
        <v>116</v>
      </c>
      <c r="B73" s="70">
        <f t="shared" ref="B73:D73" si="1">$G$67*B71</f>
        <v>861.564</v>
      </c>
      <c r="C73" s="70">
        <f t="shared" si="1"/>
        <v>1206.1896</v>
      </c>
      <c r="D73" s="70">
        <f t="shared" si="1"/>
        <v>150.7737</v>
      </c>
      <c r="E73" s="3"/>
      <c r="F73" s="1"/>
      <c r="G73" s="22" t="s">
        <v>117</v>
      </c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27.75" customHeight="1">
      <c r="A74" s="74" t="s">
        <v>118</v>
      </c>
      <c r="B74" s="75">
        <f>B73/(22*G74)</f>
        <v>19.581</v>
      </c>
      <c r="C74" s="75">
        <f>C73/(22*G74)</f>
        <v>27.4134</v>
      </c>
      <c r="D74" s="76">
        <f>D73/(22*G74)</f>
        <v>3.426675</v>
      </c>
      <c r="E74" s="3"/>
      <c r="F74" s="1"/>
      <c r="G74" s="72">
        <v>2.0</v>
      </c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27.75" customHeight="1">
      <c r="A75" s="1"/>
      <c r="B75" s="1"/>
      <c r="C75" s="1"/>
      <c r="D75" s="2"/>
      <c r="E75" s="3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27.75" customHeight="1">
      <c r="A76" s="1"/>
      <c r="B76" s="1"/>
      <c r="C76" s="1"/>
      <c r="D76" s="2"/>
      <c r="E76" s="3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27.75" customHeight="1">
      <c r="A77" s="20" t="s">
        <v>119</v>
      </c>
      <c r="B77" s="77" t="s">
        <v>120</v>
      </c>
      <c r="C77" s="78"/>
      <c r="D77" s="65"/>
      <c r="E77" s="64"/>
      <c r="F77" s="79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27.75" customHeight="1">
      <c r="A78" s="1"/>
      <c r="B78" s="54" t="s">
        <v>121</v>
      </c>
      <c r="C78" s="21" t="s">
        <v>122</v>
      </c>
      <c r="D78" s="68" t="s">
        <v>123</v>
      </c>
      <c r="E78" s="68" t="s">
        <v>124</v>
      </c>
      <c r="F78" s="68" t="s">
        <v>125</v>
      </c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27.75" customHeight="1">
      <c r="A79" s="1"/>
      <c r="B79" s="80" t="s">
        <v>126</v>
      </c>
      <c r="C79" s="81">
        <v>0.4</v>
      </c>
      <c r="D79" s="75">
        <f t="shared" ref="D79:F79" si="2">+B73</f>
        <v>861.564</v>
      </c>
      <c r="E79" s="75">
        <f t="shared" si="2"/>
        <v>1206.1896</v>
      </c>
      <c r="F79" s="75">
        <f t="shared" si="2"/>
        <v>150.7737</v>
      </c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27.75" customHeight="1">
      <c r="A80" s="1"/>
      <c r="B80" s="80" t="s">
        <v>127</v>
      </c>
      <c r="C80" s="81">
        <f>1-C79</f>
        <v>0.6</v>
      </c>
      <c r="D80" s="70">
        <f t="shared" ref="D80:F80" si="3">+D79*1.5</f>
        <v>1292.346</v>
      </c>
      <c r="E80" s="70">
        <f t="shared" si="3"/>
        <v>1809.2844</v>
      </c>
      <c r="F80" s="70">
        <f t="shared" si="3"/>
        <v>226.16055</v>
      </c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27.75" customHeight="1">
      <c r="A81" s="1"/>
      <c r="B81" s="82"/>
      <c r="C81" s="81">
        <f>SUM(C79:C80)</f>
        <v>1</v>
      </c>
      <c r="D81" s="75">
        <f t="shared" ref="D81:F81" si="4">+D79+D80</f>
        <v>2153.91</v>
      </c>
      <c r="E81" s="75">
        <f t="shared" si="4"/>
        <v>3015.474</v>
      </c>
      <c r="F81" s="75">
        <f t="shared" si="4"/>
        <v>376.93425</v>
      </c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27.75" customHeight="1">
      <c r="A82" s="1"/>
      <c r="B82" s="1"/>
      <c r="C82" s="1"/>
      <c r="D82" s="1"/>
      <c r="E82" s="3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27.75" customHeight="1">
      <c r="A83" s="20" t="s">
        <v>128</v>
      </c>
      <c r="B83" s="77" t="s">
        <v>129</v>
      </c>
      <c r="C83" s="78"/>
      <c r="D83" s="65"/>
      <c r="E83" s="64"/>
      <c r="F83" s="79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27.75" customHeight="1">
      <c r="A84" s="1"/>
      <c r="B84" s="54" t="s">
        <v>121</v>
      </c>
      <c r="C84" s="21" t="s">
        <v>122</v>
      </c>
      <c r="D84" s="68" t="s">
        <v>130</v>
      </c>
      <c r="E84" s="68" t="s">
        <v>131</v>
      </c>
      <c r="F84" s="68" t="s">
        <v>132</v>
      </c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27.75" customHeight="1">
      <c r="A85" s="1"/>
      <c r="B85" s="80" t="s">
        <v>126</v>
      </c>
      <c r="C85" s="81">
        <v>0.4</v>
      </c>
      <c r="D85" s="75">
        <f t="shared" ref="D85:F85" si="5">$C85/$C$85*B$74</f>
        <v>19.581</v>
      </c>
      <c r="E85" s="75">
        <f t="shared" si="5"/>
        <v>27.4134</v>
      </c>
      <c r="F85" s="75">
        <f t="shared" si="5"/>
        <v>3.426675</v>
      </c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27.75" customHeight="1">
      <c r="A86" s="1"/>
      <c r="B86" s="80" t="s">
        <v>127</v>
      </c>
      <c r="C86" s="81">
        <f>1-C85</f>
        <v>0.6</v>
      </c>
      <c r="D86" s="70">
        <f t="shared" ref="D86:F86" si="6">$C86/$C$85*B$74</f>
        <v>29.3715</v>
      </c>
      <c r="E86" s="70">
        <f t="shared" si="6"/>
        <v>41.1201</v>
      </c>
      <c r="F86" s="70">
        <f t="shared" si="6"/>
        <v>5.1400125</v>
      </c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27.75" customHeight="1">
      <c r="A87" s="1"/>
      <c r="B87" s="82"/>
      <c r="C87" s="81">
        <f>SUM(C85:C86)</f>
        <v>1</v>
      </c>
      <c r="D87" s="75">
        <f t="shared" ref="D87:F87" si="7">$C87/$C$85*B$74</f>
        <v>48.9525</v>
      </c>
      <c r="E87" s="75">
        <f t="shared" si="7"/>
        <v>68.5335</v>
      </c>
      <c r="F87" s="75">
        <f t="shared" si="7"/>
        <v>8.5666875</v>
      </c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27.75" customHeight="1">
      <c r="A88" s="1"/>
      <c r="B88" s="1"/>
      <c r="C88" s="1"/>
      <c r="D88" s="2"/>
      <c r="E88" s="3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27.75" customHeight="1">
      <c r="A89" s="20" t="s">
        <v>133</v>
      </c>
      <c r="B89" s="83">
        <v>5.0</v>
      </c>
      <c r="C89" s="1"/>
      <c r="D89" s="2"/>
      <c r="E89" s="3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27.75" customHeight="1">
      <c r="A90" s="1"/>
      <c r="B90" s="1"/>
      <c r="C90" s="1"/>
      <c r="D90" s="2"/>
      <c r="E90" s="3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27.75" customHeight="1">
      <c r="A91" s="20" t="s">
        <v>134</v>
      </c>
      <c r="B91" s="68" t="s">
        <v>135</v>
      </c>
      <c r="C91" s="68" t="s">
        <v>136</v>
      </c>
      <c r="D91" s="68" t="s">
        <v>137</v>
      </c>
      <c r="E91" s="3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27.75" customHeight="1">
      <c r="A92" s="84"/>
      <c r="B92" s="85">
        <f>$D$87/$B$89</f>
        <v>9.7905</v>
      </c>
      <c r="C92" s="85">
        <f>$E$87/$B$89</f>
        <v>13.7067</v>
      </c>
      <c r="D92" s="85">
        <f>$F$87/$B$89</f>
        <v>1.7133375</v>
      </c>
      <c r="E92" s="84"/>
      <c r="F92" s="84"/>
      <c r="G92" s="84"/>
      <c r="H92" s="84"/>
      <c r="I92" s="84"/>
      <c r="J92" s="84"/>
      <c r="K92" s="84"/>
      <c r="L92" s="84"/>
      <c r="M92" s="84"/>
      <c r="N92" s="84"/>
      <c r="O92" s="84"/>
      <c r="P92" s="84"/>
      <c r="Q92" s="84"/>
      <c r="R92" s="84"/>
      <c r="S92" s="84"/>
      <c r="T92" s="84"/>
      <c r="U92" s="84"/>
      <c r="V92" s="84"/>
      <c r="W92" s="84"/>
      <c r="X92" s="84"/>
      <c r="Y92" s="84"/>
      <c r="Z92" s="84"/>
    </row>
    <row r="93" ht="15.75" customHeight="1">
      <c r="A93" s="84"/>
      <c r="B93" s="84"/>
      <c r="C93" s="84"/>
      <c r="D93" s="84"/>
      <c r="E93" s="86"/>
      <c r="F93" s="84"/>
      <c r="G93" s="84"/>
      <c r="H93" s="84"/>
      <c r="I93" s="84"/>
      <c r="J93" s="84"/>
      <c r="K93" s="84"/>
      <c r="L93" s="84"/>
      <c r="M93" s="84"/>
      <c r="N93" s="84"/>
      <c r="O93" s="84"/>
      <c r="P93" s="84"/>
      <c r="Q93" s="84"/>
      <c r="R93" s="84"/>
      <c r="S93" s="84"/>
      <c r="T93" s="84"/>
      <c r="U93" s="84"/>
      <c r="V93" s="84"/>
      <c r="W93" s="84"/>
      <c r="X93" s="84"/>
      <c r="Y93" s="84"/>
      <c r="Z93" s="84"/>
    </row>
    <row r="94" ht="15.75" customHeight="1">
      <c r="A94" s="84"/>
      <c r="B94" s="84"/>
      <c r="C94" s="84"/>
      <c r="D94" s="84"/>
      <c r="E94" s="86"/>
      <c r="F94" s="84"/>
      <c r="G94" s="84"/>
      <c r="H94" s="84"/>
      <c r="I94" s="84"/>
      <c r="J94" s="84"/>
      <c r="K94" s="84"/>
      <c r="L94" s="84"/>
      <c r="M94" s="84"/>
      <c r="N94" s="84"/>
      <c r="O94" s="84"/>
      <c r="P94" s="84"/>
      <c r="Q94" s="84"/>
      <c r="R94" s="84"/>
      <c r="S94" s="84"/>
      <c r="T94" s="84"/>
      <c r="U94" s="84"/>
      <c r="V94" s="84"/>
      <c r="W94" s="84"/>
      <c r="X94" s="84"/>
      <c r="Y94" s="84"/>
      <c r="Z94" s="84"/>
    </row>
    <row r="95" ht="15.75" customHeight="1">
      <c r="A95" s="84"/>
      <c r="B95" s="84"/>
      <c r="C95" s="84"/>
      <c r="D95" s="84"/>
      <c r="E95" s="86"/>
      <c r="F95" s="84"/>
      <c r="G95" s="84"/>
      <c r="H95" s="84"/>
      <c r="I95" s="84"/>
      <c r="J95" s="84"/>
      <c r="K95" s="84"/>
      <c r="L95" s="84"/>
      <c r="M95" s="84"/>
      <c r="N95" s="84"/>
      <c r="O95" s="84"/>
      <c r="P95" s="84"/>
      <c r="Q95" s="84"/>
      <c r="R95" s="84"/>
      <c r="S95" s="84"/>
      <c r="T95" s="84"/>
      <c r="U95" s="84"/>
      <c r="V95" s="84"/>
      <c r="W95" s="84"/>
      <c r="X95" s="84"/>
      <c r="Y95" s="84"/>
      <c r="Z95" s="84"/>
    </row>
    <row r="96" ht="15.75" customHeight="1">
      <c r="A96" s="84"/>
      <c r="B96" s="84"/>
      <c r="C96" s="84"/>
      <c r="D96" s="84"/>
      <c r="E96" s="86"/>
      <c r="F96" s="84"/>
      <c r="G96" s="84"/>
      <c r="H96" s="84"/>
      <c r="I96" s="84"/>
      <c r="J96" s="84"/>
      <c r="K96" s="84"/>
      <c r="L96" s="84"/>
      <c r="M96" s="84"/>
      <c r="N96" s="84"/>
      <c r="O96" s="84"/>
      <c r="P96" s="84"/>
      <c r="Q96" s="84"/>
      <c r="R96" s="84"/>
      <c r="S96" s="84"/>
      <c r="T96" s="84"/>
      <c r="U96" s="84"/>
      <c r="V96" s="84"/>
      <c r="W96" s="84"/>
      <c r="X96" s="84"/>
      <c r="Y96" s="84"/>
      <c r="Z96" s="84"/>
    </row>
    <row r="97" ht="15.75" customHeight="1">
      <c r="A97" s="84"/>
      <c r="B97" s="84"/>
      <c r="C97" s="84"/>
      <c r="D97" s="84"/>
      <c r="E97" s="86"/>
      <c r="F97" s="84"/>
      <c r="G97" s="84"/>
      <c r="H97" s="84"/>
      <c r="I97" s="84"/>
      <c r="J97" s="84"/>
      <c r="K97" s="84"/>
      <c r="L97" s="84"/>
      <c r="M97" s="84"/>
      <c r="N97" s="84"/>
      <c r="O97" s="84"/>
      <c r="P97" s="84"/>
      <c r="Q97" s="84"/>
      <c r="R97" s="84"/>
      <c r="S97" s="84"/>
      <c r="T97" s="84"/>
      <c r="U97" s="84"/>
      <c r="V97" s="84"/>
      <c r="W97" s="84"/>
      <c r="X97" s="84"/>
      <c r="Y97" s="84"/>
      <c r="Z97" s="84"/>
    </row>
    <row r="98" ht="15.75" customHeight="1">
      <c r="A98" s="84"/>
      <c r="B98" s="84"/>
      <c r="C98" s="84"/>
      <c r="D98" s="84"/>
      <c r="E98" s="86"/>
      <c r="F98" s="84"/>
      <c r="G98" s="84"/>
      <c r="H98" s="84"/>
      <c r="I98" s="84"/>
      <c r="J98" s="84"/>
      <c r="K98" s="84"/>
      <c r="L98" s="84"/>
      <c r="M98" s="84"/>
      <c r="N98" s="84"/>
      <c r="O98" s="84"/>
      <c r="P98" s="84"/>
      <c r="Q98" s="84"/>
      <c r="R98" s="84"/>
      <c r="S98" s="84"/>
      <c r="T98" s="84"/>
      <c r="U98" s="84"/>
      <c r="V98" s="84"/>
      <c r="W98" s="84"/>
      <c r="X98" s="84"/>
      <c r="Y98" s="84"/>
      <c r="Z98" s="84"/>
    </row>
    <row r="99" ht="15.75" customHeight="1">
      <c r="A99" s="84"/>
      <c r="B99" s="84"/>
      <c r="C99" s="84"/>
      <c r="D99" s="84"/>
      <c r="E99" s="86"/>
      <c r="F99" s="84"/>
      <c r="G99" s="84"/>
      <c r="H99" s="84"/>
      <c r="I99" s="84"/>
      <c r="J99" s="84"/>
      <c r="K99" s="84"/>
      <c r="L99" s="84"/>
      <c r="M99" s="84"/>
      <c r="N99" s="84"/>
      <c r="O99" s="84"/>
      <c r="P99" s="84"/>
      <c r="Q99" s="84"/>
      <c r="R99" s="84"/>
      <c r="S99" s="84"/>
      <c r="T99" s="84"/>
      <c r="U99" s="84"/>
      <c r="V99" s="84"/>
      <c r="W99" s="84"/>
      <c r="X99" s="84"/>
      <c r="Y99" s="84"/>
      <c r="Z99" s="84"/>
    </row>
    <row r="100" ht="15.75" customHeight="1">
      <c r="A100" s="84"/>
      <c r="B100" s="84"/>
      <c r="C100" s="84"/>
      <c r="D100" s="84"/>
      <c r="E100" s="86"/>
      <c r="F100" s="84"/>
      <c r="G100" s="84"/>
      <c r="H100" s="84"/>
      <c r="I100" s="84"/>
      <c r="J100" s="84"/>
      <c r="K100" s="84"/>
      <c r="L100" s="84"/>
      <c r="M100" s="84"/>
      <c r="N100" s="84"/>
      <c r="O100" s="84"/>
      <c r="P100" s="84"/>
      <c r="Q100" s="84"/>
      <c r="R100" s="84"/>
      <c r="S100" s="84"/>
      <c r="T100" s="84"/>
      <c r="U100" s="84"/>
      <c r="V100" s="84"/>
      <c r="W100" s="84"/>
      <c r="X100" s="84"/>
      <c r="Y100" s="84"/>
      <c r="Z100" s="84"/>
    </row>
    <row r="101" ht="15.75" customHeight="1">
      <c r="A101" s="84"/>
      <c r="B101" s="84"/>
      <c r="C101" s="84"/>
      <c r="D101" s="84"/>
      <c r="E101" s="86"/>
      <c r="F101" s="84"/>
      <c r="G101" s="84"/>
      <c r="H101" s="84"/>
      <c r="I101" s="84"/>
      <c r="J101" s="84"/>
      <c r="K101" s="84"/>
      <c r="L101" s="84"/>
      <c r="M101" s="84"/>
      <c r="N101" s="84"/>
      <c r="O101" s="84"/>
      <c r="P101" s="84"/>
      <c r="Q101" s="84"/>
      <c r="R101" s="84"/>
      <c r="S101" s="84"/>
      <c r="T101" s="84"/>
      <c r="U101" s="84"/>
      <c r="V101" s="84"/>
      <c r="W101" s="84"/>
      <c r="X101" s="84"/>
      <c r="Y101" s="84"/>
      <c r="Z101" s="84"/>
    </row>
    <row r="102" ht="15.75" customHeight="1">
      <c r="A102" s="84"/>
      <c r="B102" s="84"/>
      <c r="C102" s="84"/>
      <c r="D102" s="84"/>
      <c r="E102" s="86"/>
      <c r="F102" s="84"/>
      <c r="G102" s="84"/>
      <c r="H102" s="84"/>
      <c r="I102" s="84"/>
      <c r="J102" s="84"/>
      <c r="K102" s="84"/>
      <c r="L102" s="84"/>
      <c r="M102" s="84"/>
      <c r="N102" s="84"/>
      <c r="O102" s="84"/>
      <c r="P102" s="84"/>
      <c r="Q102" s="84"/>
      <c r="R102" s="84"/>
      <c r="S102" s="84"/>
      <c r="T102" s="84"/>
      <c r="U102" s="84"/>
      <c r="V102" s="84"/>
      <c r="W102" s="84"/>
      <c r="X102" s="84"/>
      <c r="Y102" s="84"/>
      <c r="Z102" s="84"/>
    </row>
    <row r="103" ht="15.75" customHeight="1">
      <c r="A103" s="84"/>
      <c r="B103" s="84"/>
      <c r="C103" s="84"/>
      <c r="D103" s="84"/>
      <c r="E103" s="86"/>
      <c r="F103" s="84"/>
      <c r="G103" s="84"/>
      <c r="H103" s="84"/>
      <c r="I103" s="84"/>
      <c r="J103" s="84"/>
      <c r="K103" s="84"/>
      <c r="L103" s="84"/>
      <c r="M103" s="84"/>
      <c r="N103" s="84"/>
      <c r="O103" s="84"/>
      <c r="P103" s="84"/>
      <c r="Q103" s="84"/>
      <c r="R103" s="84"/>
      <c r="S103" s="84"/>
      <c r="T103" s="84"/>
      <c r="U103" s="84"/>
      <c r="V103" s="84"/>
      <c r="W103" s="84"/>
      <c r="X103" s="84"/>
      <c r="Y103" s="84"/>
      <c r="Z103" s="84"/>
    </row>
    <row r="104" ht="15.75" customHeight="1">
      <c r="A104" s="84"/>
      <c r="B104" s="84"/>
      <c r="C104" s="84"/>
      <c r="D104" s="84"/>
      <c r="E104" s="86"/>
      <c r="F104" s="84"/>
      <c r="G104" s="84"/>
      <c r="H104" s="84"/>
      <c r="I104" s="84"/>
      <c r="J104" s="84"/>
      <c r="K104" s="84"/>
      <c r="L104" s="84"/>
      <c r="M104" s="84"/>
      <c r="N104" s="84"/>
      <c r="O104" s="84"/>
      <c r="P104" s="84"/>
      <c r="Q104" s="84"/>
      <c r="R104" s="84"/>
      <c r="S104" s="84"/>
      <c r="T104" s="84"/>
      <c r="U104" s="84"/>
      <c r="V104" s="84"/>
      <c r="W104" s="84"/>
      <c r="X104" s="84"/>
      <c r="Y104" s="84"/>
      <c r="Z104" s="84"/>
    </row>
    <row r="105" ht="15.75" customHeight="1">
      <c r="A105" s="84"/>
      <c r="B105" s="84"/>
      <c r="C105" s="84"/>
      <c r="D105" s="84"/>
      <c r="E105" s="86"/>
      <c r="F105" s="84"/>
      <c r="G105" s="84"/>
      <c r="H105" s="84"/>
      <c r="I105" s="84"/>
      <c r="J105" s="84"/>
      <c r="K105" s="84"/>
      <c r="L105" s="84"/>
      <c r="M105" s="84"/>
      <c r="N105" s="84"/>
      <c r="O105" s="84"/>
      <c r="P105" s="84"/>
      <c r="Q105" s="84"/>
      <c r="R105" s="84"/>
      <c r="S105" s="84"/>
      <c r="T105" s="84"/>
      <c r="U105" s="84"/>
      <c r="V105" s="84"/>
      <c r="W105" s="84"/>
      <c r="X105" s="84"/>
      <c r="Y105" s="84"/>
      <c r="Z105" s="84"/>
    </row>
    <row r="106" ht="15.75" customHeight="1">
      <c r="A106" s="84"/>
      <c r="B106" s="84"/>
      <c r="C106" s="84"/>
      <c r="D106" s="84"/>
      <c r="E106" s="86"/>
      <c r="F106" s="84"/>
      <c r="G106" s="84"/>
      <c r="H106" s="84"/>
      <c r="I106" s="84"/>
      <c r="J106" s="84"/>
      <c r="K106" s="84"/>
      <c r="L106" s="84"/>
      <c r="M106" s="84"/>
      <c r="N106" s="84"/>
      <c r="O106" s="84"/>
      <c r="P106" s="84"/>
      <c r="Q106" s="84"/>
      <c r="R106" s="84"/>
      <c r="S106" s="84"/>
      <c r="T106" s="84"/>
      <c r="U106" s="84"/>
      <c r="V106" s="84"/>
      <c r="W106" s="84"/>
      <c r="X106" s="84"/>
      <c r="Y106" s="84"/>
      <c r="Z106" s="84"/>
    </row>
    <row r="107" ht="15.75" customHeight="1">
      <c r="A107" s="84"/>
      <c r="B107" s="84"/>
      <c r="C107" s="84"/>
      <c r="D107" s="84"/>
      <c r="E107" s="86"/>
      <c r="F107" s="84"/>
      <c r="G107" s="84"/>
      <c r="H107" s="84"/>
      <c r="I107" s="84"/>
      <c r="J107" s="84"/>
      <c r="K107" s="84"/>
      <c r="L107" s="84"/>
      <c r="M107" s="84"/>
      <c r="N107" s="84"/>
      <c r="O107" s="84"/>
      <c r="P107" s="84"/>
      <c r="Q107" s="84"/>
      <c r="R107" s="84"/>
      <c r="S107" s="84"/>
      <c r="T107" s="84"/>
      <c r="U107" s="84"/>
      <c r="V107" s="84"/>
      <c r="W107" s="84"/>
      <c r="X107" s="84"/>
      <c r="Y107" s="84"/>
      <c r="Z107" s="84"/>
    </row>
    <row r="108" ht="15.75" customHeight="1">
      <c r="A108" s="84"/>
      <c r="B108" s="84"/>
      <c r="C108" s="84"/>
      <c r="D108" s="84"/>
      <c r="E108" s="86"/>
      <c r="F108" s="84"/>
      <c r="G108" s="84"/>
      <c r="H108" s="84"/>
      <c r="I108" s="84"/>
      <c r="J108" s="84"/>
      <c r="K108" s="84"/>
      <c r="L108" s="84"/>
      <c r="M108" s="84"/>
      <c r="N108" s="84"/>
      <c r="O108" s="84"/>
      <c r="P108" s="84"/>
      <c r="Q108" s="84"/>
      <c r="R108" s="84"/>
      <c r="S108" s="84"/>
      <c r="T108" s="84"/>
      <c r="U108" s="84"/>
      <c r="V108" s="84"/>
      <c r="W108" s="84"/>
      <c r="X108" s="84"/>
      <c r="Y108" s="84"/>
      <c r="Z108" s="84"/>
    </row>
    <row r="109" ht="15.75" customHeight="1">
      <c r="A109" s="1"/>
      <c r="B109" s="1"/>
      <c r="C109" s="1"/>
      <c r="D109" s="2"/>
      <c r="E109" s="3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2"/>
      <c r="E110" s="3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2"/>
      <c r="E111" s="3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2"/>
      <c r="E112" s="3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2"/>
      <c r="E113" s="3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2"/>
      <c r="E114" s="3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2"/>
      <c r="E115" s="3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2"/>
      <c r="E116" s="3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2"/>
      <c r="E117" s="3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2"/>
      <c r="E118" s="3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2"/>
      <c r="E119" s="3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2"/>
      <c r="E120" s="3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2"/>
      <c r="E121" s="3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2"/>
      <c r="E122" s="3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2"/>
      <c r="E123" s="3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2"/>
      <c r="E124" s="3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2"/>
      <c r="E125" s="3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2"/>
      <c r="E126" s="3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2"/>
      <c r="E127" s="3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2"/>
      <c r="E128" s="3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2"/>
      <c r="E129" s="3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2"/>
      <c r="E130" s="3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2"/>
      <c r="E131" s="3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2"/>
      <c r="E132" s="3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2"/>
      <c r="E133" s="3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2"/>
      <c r="E134" s="3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2"/>
      <c r="E135" s="3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2"/>
      <c r="E136" s="3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2"/>
      <c r="E137" s="3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2"/>
      <c r="E138" s="3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2"/>
      <c r="E139" s="3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2"/>
      <c r="E140" s="3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2"/>
      <c r="E141" s="3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2"/>
      <c r="E142" s="3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2"/>
      <c r="E143" s="3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2"/>
      <c r="E144" s="3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2"/>
      <c r="E145" s="3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2"/>
      <c r="E146" s="3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2"/>
      <c r="E147" s="3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2"/>
      <c r="E148" s="3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2"/>
      <c r="E149" s="3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2"/>
      <c r="E150" s="3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2"/>
      <c r="E151" s="3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2"/>
      <c r="E152" s="3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2"/>
      <c r="E153" s="3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2"/>
      <c r="E154" s="3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2"/>
      <c r="E155" s="3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2"/>
      <c r="E156" s="3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2"/>
      <c r="E157" s="3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2"/>
      <c r="E158" s="3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2"/>
      <c r="E159" s="3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2"/>
      <c r="E160" s="3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2"/>
      <c r="E161" s="3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2"/>
      <c r="E162" s="3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2"/>
      <c r="E163" s="3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2"/>
      <c r="E164" s="3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2"/>
      <c r="E165" s="3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2"/>
      <c r="E166" s="3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2"/>
      <c r="E167" s="3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2"/>
      <c r="E168" s="3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2"/>
      <c r="E169" s="3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2"/>
      <c r="E170" s="3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2"/>
      <c r="E171" s="3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2"/>
      <c r="E172" s="3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2"/>
      <c r="E173" s="3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2"/>
      <c r="E174" s="3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2"/>
      <c r="E175" s="3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2"/>
      <c r="E176" s="3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2"/>
      <c r="E177" s="3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2"/>
      <c r="E178" s="3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2"/>
      <c r="E179" s="3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2"/>
      <c r="E180" s="3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2"/>
      <c r="E181" s="3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2"/>
      <c r="E182" s="3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2"/>
      <c r="E183" s="3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2"/>
      <c r="E184" s="3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2"/>
      <c r="E185" s="3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2"/>
      <c r="E186" s="3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2"/>
      <c r="E187" s="3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2"/>
      <c r="E188" s="3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2"/>
      <c r="E189" s="3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2"/>
      <c r="E190" s="3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2"/>
      <c r="E191" s="3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2"/>
      <c r="E192" s="3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2"/>
      <c r="E193" s="3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2"/>
      <c r="E194" s="3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2"/>
      <c r="E195" s="3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2"/>
      <c r="E196" s="3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2"/>
      <c r="E197" s="3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2"/>
      <c r="E198" s="3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2"/>
      <c r="E199" s="3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2"/>
      <c r="E200" s="3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2"/>
      <c r="E201" s="3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2"/>
      <c r="E202" s="3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2"/>
      <c r="E203" s="3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2"/>
      <c r="E204" s="3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2"/>
      <c r="E205" s="3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2"/>
      <c r="E206" s="3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2"/>
      <c r="E207" s="3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2"/>
      <c r="E208" s="3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2"/>
      <c r="E209" s="3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2"/>
      <c r="E210" s="3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2"/>
      <c r="E211" s="3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2"/>
      <c r="E212" s="3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2"/>
      <c r="E213" s="3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2"/>
      <c r="E214" s="3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2"/>
      <c r="E215" s="3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2"/>
      <c r="E216" s="3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2"/>
      <c r="E217" s="3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2"/>
      <c r="E218" s="3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2"/>
      <c r="E219" s="3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2"/>
      <c r="E220" s="3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2"/>
      <c r="E221" s="3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2"/>
      <c r="E222" s="3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2"/>
      <c r="E223" s="3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2"/>
      <c r="E224" s="3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2"/>
      <c r="E225" s="3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2"/>
      <c r="E226" s="3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2"/>
      <c r="E227" s="3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2"/>
      <c r="E228" s="3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2"/>
      <c r="E229" s="3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2"/>
      <c r="E230" s="3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2"/>
      <c r="E231" s="3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2"/>
      <c r="E232" s="3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2"/>
      <c r="E233" s="3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2"/>
      <c r="E234" s="3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2"/>
      <c r="E235" s="3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2"/>
      <c r="E236" s="3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2"/>
      <c r="E237" s="3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2"/>
      <c r="E238" s="3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2"/>
      <c r="E239" s="3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2"/>
      <c r="E240" s="3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2"/>
      <c r="E241" s="3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2"/>
      <c r="E242" s="3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2"/>
      <c r="E243" s="3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2"/>
      <c r="E244" s="3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2"/>
      <c r="E245" s="3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2"/>
      <c r="E246" s="3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2"/>
      <c r="E247" s="3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2"/>
      <c r="E248" s="3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2"/>
      <c r="E249" s="3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2"/>
      <c r="E250" s="3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2"/>
      <c r="E251" s="3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2"/>
      <c r="E252" s="3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2"/>
      <c r="E253" s="3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2"/>
      <c r="E254" s="3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2"/>
      <c r="E255" s="3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2"/>
      <c r="E256" s="3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2"/>
      <c r="E257" s="3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2"/>
      <c r="E258" s="3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2"/>
      <c r="E259" s="3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2"/>
      <c r="E260" s="3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2"/>
      <c r="E261" s="3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2"/>
      <c r="E262" s="3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2"/>
      <c r="E263" s="3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2"/>
      <c r="E264" s="3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2"/>
      <c r="E265" s="3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2"/>
      <c r="E266" s="3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2"/>
      <c r="E267" s="3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2"/>
      <c r="E268" s="3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2"/>
      <c r="E269" s="3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2"/>
      <c r="E270" s="3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2"/>
      <c r="E271" s="3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2"/>
      <c r="E272" s="3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2"/>
      <c r="E273" s="3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2"/>
      <c r="E274" s="3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2"/>
      <c r="E275" s="3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2"/>
      <c r="E276" s="3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2"/>
      <c r="E277" s="3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2"/>
      <c r="E278" s="3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2"/>
      <c r="E279" s="3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2"/>
      <c r="E280" s="3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2"/>
      <c r="E281" s="3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2"/>
      <c r="E282" s="3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2"/>
      <c r="E283" s="3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2"/>
      <c r="E284" s="3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2"/>
      <c r="E285" s="3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2"/>
      <c r="E286" s="3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2"/>
      <c r="E287" s="3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2"/>
      <c r="E288" s="3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2"/>
      <c r="E289" s="3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2"/>
      <c r="E290" s="3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2"/>
      <c r="E291" s="3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2"/>
      <c r="E292" s="3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2"/>
      <c r="E293" s="3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2"/>
      <c r="E294" s="3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2"/>
      <c r="E295" s="3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2"/>
      <c r="E296" s="3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2"/>
      <c r="E297" s="3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2"/>
      <c r="E298" s="3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2"/>
      <c r="E299" s="3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2"/>
      <c r="E300" s="3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2"/>
      <c r="E301" s="3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2"/>
      <c r="E302" s="3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2"/>
      <c r="E303" s="3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2"/>
      <c r="E304" s="3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2"/>
      <c r="E305" s="3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2"/>
      <c r="E306" s="3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2"/>
      <c r="E307" s="3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2"/>
      <c r="E308" s="3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2"/>
      <c r="E309" s="3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2"/>
      <c r="E310" s="3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2"/>
      <c r="E311" s="3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2"/>
      <c r="E312" s="3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2"/>
      <c r="E313" s="3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2"/>
      <c r="E314" s="3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2"/>
      <c r="E315" s="3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2"/>
      <c r="E316" s="3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2"/>
      <c r="E317" s="3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2"/>
      <c r="E318" s="3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2"/>
      <c r="E319" s="3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2"/>
      <c r="E320" s="3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2"/>
      <c r="E321" s="3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2"/>
      <c r="E322" s="3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2"/>
      <c r="E323" s="3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2"/>
      <c r="E324" s="3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2"/>
      <c r="E325" s="3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2"/>
      <c r="E326" s="3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2"/>
      <c r="E327" s="3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2"/>
      <c r="E328" s="3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2"/>
      <c r="E329" s="3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2"/>
      <c r="E330" s="3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2"/>
      <c r="E331" s="3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2"/>
      <c r="E332" s="3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2"/>
      <c r="E333" s="3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2"/>
      <c r="E334" s="3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2"/>
      <c r="E335" s="3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2"/>
      <c r="E336" s="3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2"/>
      <c r="E337" s="3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2"/>
      <c r="E338" s="3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2"/>
      <c r="E339" s="3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2"/>
      <c r="E340" s="3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2"/>
      <c r="E341" s="3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2"/>
      <c r="E342" s="3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2"/>
      <c r="E343" s="3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2"/>
      <c r="E344" s="3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2"/>
      <c r="E345" s="3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2"/>
      <c r="E346" s="3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2"/>
      <c r="E347" s="3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2"/>
      <c r="E348" s="3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2"/>
      <c r="E349" s="3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2"/>
      <c r="E350" s="3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2"/>
      <c r="E351" s="3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2"/>
      <c r="E352" s="3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2"/>
      <c r="E353" s="3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2"/>
      <c r="E354" s="3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2"/>
      <c r="E355" s="3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2"/>
      <c r="E356" s="3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2"/>
      <c r="E357" s="3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2"/>
      <c r="E358" s="3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2"/>
      <c r="E359" s="3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2"/>
      <c r="E360" s="3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2"/>
      <c r="E361" s="3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2"/>
      <c r="E362" s="3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2"/>
      <c r="E363" s="3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2"/>
      <c r="E364" s="3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2"/>
      <c r="E365" s="3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2"/>
      <c r="E366" s="3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2"/>
      <c r="E367" s="3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2"/>
      <c r="E368" s="3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2"/>
      <c r="E369" s="3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2"/>
      <c r="E370" s="3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2"/>
      <c r="E371" s="3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2"/>
      <c r="E372" s="3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2"/>
      <c r="E373" s="3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2"/>
      <c r="E374" s="3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2"/>
      <c r="E375" s="3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2"/>
      <c r="E376" s="3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2"/>
      <c r="E377" s="3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2"/>
      <c r="E378" s="3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2"/>
      <c r="E379" s="3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2"/>
      <c r="E380" s="3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2"/>
      <c r="E381" s="3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2"/>
      <c r="E382" s="3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2"/>
      <c r="E383" s="3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2"/>
      <c r="E384" s="3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2"/>
      <c r="E385" s="3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2"/>
      <c r="E386" s="3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2"/>
      <c r="E387" s="3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2"/>
      <c r="E388" s="3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2"/>
      <c r="E389" s="3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2"/>
      <c r="E390" s="3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2"/>
      <c r="E391" s="3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2"/>
      <c r="E392" s="3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2"/>
      <c r="E393" s="3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2"/>
      <c r="E394" s="3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2"/>
      <c r="E395" s="3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2"/>
      <c r="E396" s="3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2"/>
      <c r="E397" s="3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2"/>
      <c r="E398" s="3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2"/>
      <c r="E399" s="3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2"/>
      <c r="E400" s="3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2"/>
      <c r="E401" s="3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2"/>
      <c r="E402" s="3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2"/>
      <c r="E403" s="3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2"/>
      <c r="E404" s="3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2"/>
      <c r="E405" s="3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2"/>
      <c r="E406" s="3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2"/>
      <c r="E407" s="3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2"/>
      <c r="E408" s="3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2"/>
      <c r="E409" s="3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2"/>
      <c r="E410" s="3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2"/>
      <c r="E411" s="3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2"/>
      <c r="E412" s="3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2"/>
      <c r="E413" s="3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2"/>
      <c r="E414" s="3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2"/>
      <c r="E415" s="3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2"/>
      <c r="E416" s="3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2"/>
      <c r="E417" s="3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2"/>
      <c r="E418" s="3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2"/>
      <c r="E419" s="3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2"/>
      <c r="E420" s="3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2"/>
      <c r="E421" s="3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2"/>
      <c r="E422" s="3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2"/>
      <c r="E423" s="3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2"/>
      <c r="E424" s="3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2"/>
      <c r="E425" s="3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2"/>
      <c r="E426" s="3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2"/>
      <c r="E427" s="3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2"/>
      <c r="E428" s="3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2"/>
      <c r="E429" s="3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2"/>
      <c r="E430" s="3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2"/>
      <c r="E431" s="3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2"/>
      <c r="E432" s="3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2"/>
      <c r="E433" s="3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2"/>
      <c r="E434" s="3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2"/>
      <c r="E435" s="3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2"/>
      <c r="E436" s="3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2"/>
      <c r="E437" s="3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2"/>
      <c r="E438" s="3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2"/>
      <c r="E439" s="3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2"/>
      <c r="E440" s="3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2"/>
      <c r="E441" s="3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2"/>
      <c r="E442" s="3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2"/>
      <c r="E443" s="3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2"/>
      <c r="E444" s="3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2"/>
      <c r="E445" s="3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2"/>
      <c r="E446" s="3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2"/>
      <c r="E447" s="3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2"/>
      <c r="E448" s="3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2"/>
      <c r="E449" s="3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2"/>
      <c r="E450" s="3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2"/>
      <c r="E451" s="3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2"/>
      <c r="E452" s="3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2"/>
      <c r="E453" s="3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2"/>
      <c r="E454" s="3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2"/>
      <c r="E455" s="3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2"/>
      <c r="E456" s="3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2"/>
      <c r="E457" s="3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2"/>
      <c r="E458" s="3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2"/>
      <c r="E459" s="3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2"/>
      <c r="E460" s="3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2"/>
      <c r="E461" s="3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2"/>
      <c r="E462" s="3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2"/>
      <c r="E463" s="3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2"/>
      <c r="E464" s="3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2"/>
      <c r="E465" s="3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2"/>
      <c r="E466" s="3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2"/>
      <c r="E467" s="3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2"/>
      <c r="E468" s="3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2"/>
      <c r="E469" s="3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2"/>
      <c r="E470" s="3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2"/>
      <c r="E471" s="3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2"/>
      <c r="E472" s="3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2"/>
      <c r="E473" s="3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2"/>
      <c r="E474" s="3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2"/>
      <c r="E475" s="3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2"/>
      <c r="E476" s="3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2"/>
      <c r="E477" s="3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2"/>
      <c r="E478" s="3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2"/>
      <c r="E479" s="3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2"/>
      <c r="E480" s="3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2"/>
      <c r="E481" s="3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2"/>
      <c r="E482" s="3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2"/>
      <c r="E483" s="3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2"/>
      <c r="E484" s="3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2"/>
      <c r="E485" s="3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2"/>
      <c r="E486" s="3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2"/>
      <c r="E487" s="3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2"/>
      <c r="E488" s="3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2"/>
      <c r="E489" s="3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2"/>
      <c r="E490" s="3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2"/>
      <c r="E491" s="3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2"/>
      <c r="E492" s="3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2"/>
      <c r="E493" s="3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2"/>
      <c r="E494" s="3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2"/>
      <c r="E495" s="3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2"/>
      <c r="E496" s="3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2"/>
      <c r="E497" s="3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2"/>
      <c r="E498" s="3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2"/>
      <c r="E499" s="3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2"/>
      <c r="E500" s="3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2"/>
      <c r="E501" s="3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2"/>
      <c r="E502" s="3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2"/>
      <c r="E503" s="3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2"/>
      <c r="E504" s="3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2"/>
      <c r="E505" s="3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2"/>
      <c r="E506" s="3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2"/>
      <c r="E507" s="3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2"/>
      <c r="E508" s="3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2"/>
      <c r="E509" s="3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2"/>
      <c r="E510" s="3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2"/>
      <c r="E511" s="3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2"/>
      <c r="E512" s="3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2"/>
      <c r="E513" s="3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2"/>
      <c r="E514" s="3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2"/>
      <c r="E515" s="3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2"/>
      <c r="E516" s="3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2"/>
      <c r="E517" s="3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2"/>
      <c r="E518" s="3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2"/>
      <c r="E519" s="3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2"/>
      <c r="E520" s="3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2"/>
      <c r="E521" s="3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2"/>
      <c r="E522" s="3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2"/>
      <c r="E523" s="3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2"/>
      <c r="E524" s="3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2"/>
      <c r="E525" s="3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2"/>
      <c r="E526" s="3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2"/>
      <c r="E527" s="3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2"/>
      <c r="E528" s="3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2"/>
      <c r="E529" s="3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2"/>
      <c r="E530" s="3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2"/>
      <c r="E531" s="3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2"/>
      <c r="E532" s="3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2"/>
      <c r="E533" s="3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2"/>
      <c r="E534" s="3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2"/>
      <c r="E535" s="3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2"/>
      <c r="E536" s="3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2"/>
      <c r="E537" s="3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2"/>
      <c r="E538" s="3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2"/>
      <c r="E539" s="3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2"/>
      <c r="E540" s="3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2"/>
      <c r="E541" s="3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2"/>
      <c r="E542" s="3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2"/>
      <c r="E543" s="3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2"/>
      <c r="E544" s="3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2"/>
      <c r="E545" s="3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2"/>
      <c r="E546" s="3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2"/>
      <c r="E547" s="3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2"/>
      <c r="E548" s="3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2"/>
      <c r="E549" s="3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2"/>
      <c r="E550" s="3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2"/>
      <c r="E551" s="3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2"/>
      <c r="E552" s="3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2"/>
      <c r="E553" s="3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2"/>
      <c r="E554" s="3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2"/>
      <c r="E555" s="3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2"/>
      <c r="E556" s="3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2"/>
      <c r="E557" s="3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2"/>
      <c r="E558" s="3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2"/>
      <c r="E559" s="3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2"/>
      <c r="E560" s="3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2"/>
      <c r="E561" s="3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2"/>
      <c r="E562" s="3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2"/>
      <c r="E563" s="3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2"/>
      <c r="E564" s="3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2"/>
      <c r="E565" s="3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2"/>
      <c r="E566" s="3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2"/>
      <c r="E567" s="3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2"/>
      <c r="E568" s="3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2"/>
      <c r="E569" s="3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2"/>
      <c r="E570" s="3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2"/>
      <c r="E571" s="3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2"/>
      <c r="E572" s="3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2"/>
      <c r="E573" s="3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2"/>
      <c r="E574" s="3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2"/>
      <c r="E575" s="3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2"/>
      <c r="E576" s="3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2"/>
      <c r="E577" s="3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2"/>
      <c r="E578" s="3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2"/>
      <c r="E579" s="3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2"/>
      <c r="E580" s="3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2"/>
      <c r="E581" s="3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2"/>
      <c r="E582" s="3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2"/>
      <c r="E583" s="3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2"/>
      <c r="E584" s="3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2"/>
      <c r="E585" s="3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2"/>
      <c r="E586" s="3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2"/>
      <c r="E587" s="3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2"/>
      <c r="E588" s="3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2"/>
      <c r="E589" s="3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2"/>
      <c r="E590" s="3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2"/>
      <c r="E591" s="3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2"/>
      <c r="E592" s="3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2"/>
      <c r="E593" s="3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2"/>
      <c r="E594" s="3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2"/>
      <c r="E595" s="3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2"/>
      <c r="E596" s="3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2"/>
      <c r="E597" s="3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2"/>
      <c r="E598" s="3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2"/>
      <c r="E599" s="3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2"/>
      <c r="E600" s="3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2"/>
      <c r="E601" s="3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2"/>
      <c r="E602" s="3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2"/>
      <c r="E603" s="3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2"/>
      <c r="E604" s="3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2"/>
      <c r="E605" s="3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2"/>
      <c r="E606" s="3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2"/>
      <c r="E607" s="3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2"/>
      <c r="E608" s="3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2"/>
      <c r="E609" s="3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2"/>
      <c r="E610" s="3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2"/>
      <c r="E611" s="3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2"/>
      <c r="E612" s="3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2"/>
      <c r="E613" s="3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2"/>
      <c r="E614" s="3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2"/>
      <c r="E615" s="3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2"/>
      <c r="E616" s="3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2"/>
      <c r="E617" s="3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2"/>
      <c r="E618" s="3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2"/>
      <c r="E619" s="3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2"/>
      <c r="E620" s="3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2"/>
      <c r="E621" s="3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2"/>
      <c r="E622" s="3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2"/>
      <c r="E623" s="3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2"/>
      <c r="E624" s="3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2"/>
      <c r="E625" s="3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2"/>
      <c r="E626" s="3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2"/>
      <c r="E627" s="3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2"/>
      <c r="E628" s="3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2"/>
      <c r="E629" s="3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2"/>
      <c r="E630" s="3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2"/>
      <c r="E631" s="3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2"/>
      <c r="E632" s="3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2"/>
      <c r="E633" s="3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2"/>
      <c r="E634" s="3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2"/>
      <c r="E635" s="3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2"/>
      <c r="E636" s="3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2"/>
      <c r="E637" s="3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2"/>
      <c r="E638" s="3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2"/>
      <c r="E639" s="3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2"/>
      <c r="E640" s="3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2"/>
      <c r="E641" s="3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2"/>
      <c r="E642" s="3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2"/>
      <c r="E643" s="3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2"/>
      <c r="E644" s="3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2"/>
      <c r="E645" s="3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2"/>
      <c r="E646" s="3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2"/>
      <c r="E647" s="3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2"/>
      <c r="E648" s="3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2"/>
      <c r="E649" s="3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2"/>
      <c r="E650" s="3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2"/>
      <c r="E651" s="3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2"/>
      <c r="E652" s="3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2"/>
      <c r="E653" s="3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2"/>
      <c r="E654" s="3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2"/>
      <c r="E655" s="3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2"/>
      <c r="E656" s="3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2"/>
      <c r="E657" s="3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2"/>
      <c r="E658" s="3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2"/>
      <c r="E659" s="3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2"/>
      <c r="E660" s="3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2"/>
      <c r="E661" s="3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2"/>
      <c r="E662" s="3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2"/>
      <c r="E663" s="3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2"/>
      <c r="E664" s="3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2"/>
      <c r="E665" s="3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2"/>
      <c r="E666" s="3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2"/>
      <c r="E667" s="3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2"/>
      <c r="E668" s="3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2"/>
      <c r="E669" s="3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2"/>
      <c r="E670" s="3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2"/>
      <c r="E671" s="3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2"/>
      <c r="E672" s="3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2"/>
      <c r="E673" s="3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2"/>
      <c r="E674" s="3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2"/>
      <c r="E675" s="3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2"/>
      <c r="E676" s="3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2"/>
      <c r="E677" s="3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2"/>
      <c r="E678" s="3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2"/>
      <c r="E679" s="3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2"/>
      <c r="E680" s="3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2"/>
      <c r="E681" s="3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2"/>
      <c r="E682" s="3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2"/>
      <c r="E683" s="3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2"/>
      <c r="E684" s="3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2"/>
      <c r="E685" s="3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2"/>
      <c r="E686" s="3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2"/>
      <c r="E687" s="3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2"/>
      <c r="E688" s="3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2"/>
      <c r="E689" s="3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2"/>
      <c r="E690" s="3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2"/>
      <c r="E691" s="3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2"/>
      <c r="E692" s="3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2"/>
      <c r="E693" s="3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2"/>
      <c r="E694" s="3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2"/>
      <c r="E695" s="3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2"/>
      <c r="E696" s="3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2"/>
      <c r="E697" s="3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2"/>
      <c r="E698" s="3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2"/>
      <c r="E699" s="3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2"/>
      <c r="E700" s="3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2"/>
      <c r="E701" s="3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2"/>
      <c r="E702" s="3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2"/>
      <c r="E703" s="3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2"/>
      <c r="E704" s="3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2"/>
      <c r="E705" s="3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2"/>
      <c r="E706" s="3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2"/>
      <c r="E707" s="3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2"/>
      <c r="E708" s="3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2"/>
      <c r="E709" s="3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2"/>
      <c r="E710" s="3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2"/>
      <c r="E711" s="3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2"/>
      <c r="E712" s="3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2"/>
      <c r="E713" s="3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2"/>
      <c r="E714" s="3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2"/>
      <c r="E715" s="3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2"/>
      <c r="E716" s="3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2"/>
      <c r="E717" s="3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2"/>
      <c r="E718" s="3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2"/>
      <c r="E719" s="3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2"/>
      <c r="E720" s="3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2"/>
      <c r="E721" s="3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2"/>
      <c r="E722" s="3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2"/>
      <c r="E723" s="3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2"/>
      <c r="E724" s="3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2"/>
      <c r="E725" s="3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2"/>
      <c r="E726" s="3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2"/>
      <c r="E727" s="3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2"/>
      <c r="E728" s="3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2"/>
      <c r="E729" s="3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2"/>
      <c r="E730" s="3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2"/>
      <c r="E731" s="3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2"/>
      <c r="E732" s="3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2"/>
      <c r="E733" s="3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2"/>
      <c r="E734" s="3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2"/>
      <c r="E735" s="3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2"/>
      <c r="E736" s="3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2"/>
      <c r="E737" s="3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2"/>
      <c r="E738" s="3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2"/>
      <c r="E739" s="3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2"/>
      <c r="E740" s="3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2"/>
      <c r="E741" s="3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2"/>
      <c r="E742" s="3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2"/>
      <c r="E743" s="3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2"/>
      <c r="E744" s="3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2"/>
      <c r="E745" s="3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2"/>
      <c r="E746" s="3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2"/>
      <c r="E747" s="3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2"/>
      <c r="E748" s="3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2"/>
      <c r="E749" s="3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2"/>
      <c r="E750" s="3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2"/>
      <c r="E751" s="3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2"/>
      <c r="E752" s="3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2"/>
      <c r="E753" s="3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2"/>
      <c r="E754" s="3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2"/>
      <c r="E755" s="3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2"/>
      <c r="E756" s="3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2"/>
      <c r="E757" s="3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2"/>
      <c r="E758" s="3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2"/>
      <c r="E759" s="3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2"/>
      <c r="E760" s="3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2"/>
      <c r="E761" s="3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2"/>
      <c r="E762" s="3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2"/>
      <c r="E763" s="3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2"/>
      <c r="E764" s="3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2"/>
      <c r="E765" s="3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2"/>
      <c r="E766" s="3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2"/>
      <c r="E767" s="3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2"/>
      <c r="E768" s="3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2"/>
      <c r="E769" s="3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2"/>
      <c r="E770" s="3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2"/>
      <c r="E771" s="3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2"/>
      <c r="E772" s="3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2"/>
      <c r="E773" s="3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2"/>
      <c r="E774" s="3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2"/>
      <c r="E775" s="3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2"/>
      <c r="E776" s="3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2"/>
      <c r="E777" s="3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2"/>
      <c r="E778" s="3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2"/>
      <c r="E779" s="3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2"/>
      <c r="E780" s="3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2"/>
      <c r="E781" s="3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2"/>
      <c r="E782" s="3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2"/>
      <c r="E783" s="3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2"/>
      <c r="E784" s="3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2"/>
      <c r="E785" s="3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2"/>
      <c r="E786" s="3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2"/>
      <c r="E787" s="3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2"/>
      <c r="E788" s="3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2"/>
      <c r="E789" s="3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2"/>
      <c r="E790" s="3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2"/>
      <c r="E791" s="3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2"/>
      <c r="E792" s="3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2"/>
      <c r="E793" s="3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2"/>
      <c r="E794" s="3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2"/>
      <c r="E795" s="3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2"/>
      <c r="E796" s="3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2"/>
      <c r="E797" s="3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2"/>
      <c r="E798" s="3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2"/>
      <c r="E799" s="3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2"/>
      <c r="E800" s="3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2"/>
      <c r="E801" s="3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2"/>
      <c r="E802" s="3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2"/>
      <c r="E803" s="3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2"/>
      <c r="E804" s="3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2"/>
      <c r="E805" s="3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2"/>
      <c r="E806" s="3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2"/>
      <c r="E807" s="3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2"/>
      <c r="E808" s="3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2"/>
      <c r="E809" s="3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2"/>
      <c r="E810" s="3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2"/>
      <c r="E811" s="3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2"/>
      <c r="E812" s="3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2"/>
      <c r="E813" s="3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2"/>
      <c r="E814" s="3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2"/>
      <c r="E815" s="3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2"/>
      <c r="E816" s="3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2"/>
      <c r="E817" s="3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2"/>
      <c r="E818" s="3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2"/>
      <c r="E819" s="3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2"/>
      <c r="E820" s="3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2"/>
      <c r="E821" s="3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2"/>
      <c r="E822" s="3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2"/>
      <c r="E823" s="3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2"/>
      <c r="E824" s="3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2"/>
      <c r="E825" s="3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2"/>
      <c r="E826" s="3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2"/>
      <c r="E827" s="3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2"/>
      <c r="E828" s="3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2"/>
      <c r="E829" s="3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2"/>
      <c r="E830" s="3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2"/>
      <c r="E831" s="3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2"/>
      <c r="E832" s="3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2"/>
      <c r="E833" s="3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2"/>
      <c r="E834" s="3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2"/>
      <c r="E835" s="3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2"/>
      <c r="E836" s="3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2"/>
      <c r="E837" s="3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2"/>
      <c r="E838" s="3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2"/>
      <c r="E839" s="3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2"/>
      <c r="E840" s="3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2"/>
      <c r="E841" s="3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2"/>
      <c r="E842" s="3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2"/>
      <c r="E843" s="3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2"/>
      <c r="E844" s="3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2"/>
      <c r="E845" s="3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2"/>
      <c r="E846" s="3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2"/>
      <c r="E847" s="3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2"/>
      <c r="E848" s="3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2"/>
      <c r="E849" s="3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2"/>
      <c r="E850" s="3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2"/>
      <c r="E851" s="3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2"/>
      <c r="E852" s="3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2"/>
      <c r="E853" s="3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2"/>
      <c r="E854" s="3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2"/>
      <c r="E855" s="3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2"/>
      <c r="E856" s="3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2"/>
      <c r="E857" s="3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2"/>
      <c r="E858" s="3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2"/>
      <c r="E859" s="3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2"/>
      <c r="E860" s="3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2"/>
      <c r="E861" s="3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2"/>
      <c r="E862" s="3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2"/>
      <c r="E863" s="3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2"/>
      <c r="E864" s="3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2"/>
      <c r="E865" s="3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2"/>
      <c r="E866" s="3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2"/>
      <c r="E867" s="3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2"/>
      <c r="E868" s="3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2"/>
      <c r="E869" s="3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2"/>
      <c r="E870" s="3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2"/>
      <c r="E871" s="3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2"/>
      <c r="E872" s="3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2"/>
      <c r="E873" s="3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2"/>
      <c r="E874" s="3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2"/>
      <c r="E875" s="3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2"/>
      <c r="E876" s="3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2"/>
      <c r="E877" s="3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2"/>
      <c r="E878" s="3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2"/>
      <c r="E879" s="3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2"/>
      <c r="E880" s="3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2"/>
      <c r="E881" s="3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2"/>
      <c r="E882" s="3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2"/>
      <c r="E883" s="3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2"/>
      <c r="E884" s="3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2"/>
      <c r="E885" s="3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2"/>
      <c r="E886" s="3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2"/>
      <c r="E887" s="3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2"/>
      <c r="E888" s="3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2"/>
      <c r="E889" s="3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2"/>
      <c r="E890" s="3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2"/>
      <c r="E891" s="3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2"/>
      <c r="E892" s="3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2"/>
      <c r="E893" s="3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2"/>
      <c r="E894" s="3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2"/>
      <c r="E895" s="3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2"/>
      <c r="E896" s="3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2"/>
      <c r="E897" s="3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2"/>
      <c r="E898" s="3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2"/>
      <c r="E899" s="3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2"/>
      <c r="E900" s="3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2"/>
      <c r="E901" s="3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2"/>
      <c r="E902" s="3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2"/>
      <c r="E903" s="3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2"/>
      <c r="E904" s="3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2"/>
      <c r="E905" s="3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2"/>
      <c r="E906" s="3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2"/>
      <c r="E907" s="3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2"/>
      <c r="E908" s="3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2"/>
      <c r="E909" s="3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2"/>
      <c r="E910" s="3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2"/>
      <c r="E911" s="3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2"/>
      <c r="E912" s="3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2"/>
      <c r="E913" s="3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2"/>
      <c r="E914" s="3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2"/>
      <c r="E915" s="3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2"/>
      <c r="E916" s="3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2"/>
      <c r="E917" s="3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2"/>
      <c r="E918" s="3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2"/>
      <c r="E919" s="3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2"/>
      <c r="E920" s="3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2"/>
      <c r="E921" s="3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2"/>
      <c r="E922" s="3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2"/>
      <c r="E923" s="3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2"/>
      <c r="E924" s="3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2"/>
      <c r="E925" s="3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2"/>
      <c r="E926" s="3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2"/>
      <c r="E927" s="3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2"/>
      <c r="E928" s="3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2"/>
      <c r="E929" s="3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2"/>
      <c r="E930" s="3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2"/>
      <c r="E931" s="3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2"/>
      <c r="E932" s="3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2"/>
      <c r="E933" s="3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2"/>
      <c r="E934" s="3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2"/>
      <c r="E935" s="3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2"/>
      <c r="E936" s="3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2"/>
      <c r="E937" s="3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2"/>
      <c r="E938" s="3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2"/>
      <c r="E939" s="3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2"/>
      <c r="E940" s="3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2"/>
      <c r="E941" s="3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2"/>
      <c r="E942" s="3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2"/>
      <c r="E943" s="3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2"/>
      <c r="E944" s="3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2"/>
      <c r="E945" s="3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2"/>
      <c r="E946" s="3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2"/>
      <c r="E947" s="3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2"/>
      <c r="E948" s="3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2"/>
      <c r="E949" s="3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2"/>
      <c r="E950" s="3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2"/>
      <c r="E951" s="3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2"/>
      <c r="E952" s="3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2"/>
      <c r="E953" s="3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2"/>
      <c r="E954" s="3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2"/>
      <c r="E955" s="3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2"/>
      <c r="E956" s="3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2"/>
      <c r="E957" s="3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2"/>
      <c r="E958" s="3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2"/>
      <c r="E959" s="3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2"/>
      <c r="E960" s="3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2"/>
      <c r="E961" s="3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2"/>
      <c r="E962" s="3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2"/>
      <c r="E963" s="3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2"/>
      <c r="E964" s="3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2"/>
      <c r="E965" s="3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2"/>
      <c r="E966" s="3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2"/>
      <c r="E967" s="3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2"/>
      <c r="E968" s="3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2"/>
      <c r="E969" s="3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2"/>
      <c r="E970" s="3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2"/>
      <c r="E971" s="3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2"/>
      <c r="E972" s="3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2"/>
      <c r="E973" s="3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2"/>
      <c r="E974" s="3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2"/>
      <c r="E975" s="3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2"/>
      <c r="E976" s="3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2"/>
      <c r="E977" s="3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2"/>
      <c r="E978" s="3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2"/>
      <c r="E979" s="3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2"/>
      <c r="E980" s="3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2"/>
      <c r="E981" s="3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2"/>
      <c r="E982" s="3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2"/>
      <c r="E983" s="3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2"/>
      <c r="E984" s="3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2"/>
      <c r="E985" s="3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2"/>
      <c r="E986" s="3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2"/>
      <c r="E987" s="3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2"/>
      <c r="E988" s="3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2"/>
      <c r="E989" s="3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2"/>
      <c r="E990" s="3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2"/>
      <c r="E991" s="3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2"/>
      <c r="E992" s="3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2"/>
      <c r="E993" s="3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2"/>
      <c r="E994" s="3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2"/>
      <c r="E995" s="3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2"/>
      <c r="E996" s="3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2"/>
      <c r="E997" s="3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2"/>
      <c r="E998" s="3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2"/>
      <c r="E999" s="3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2"/>
      <c r="E1000" s="3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ht="15.75" customHeight="1">
      <c r="A1001" s="1"/>
      <c r="B1001" s="1"/>
      <c r="C1001" s="1"/>
      <c r="D1001" s="2"/>
      <c r="E1001" s="3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  <row r="1002" ht="15.75" customHeight="1">
      <c r="A1002" s="1"/>
      <c r="B1002" s="1"/>
      <c r="C1002" s="1"/>
      <c r="D1002" s="2"/>
      <c r="E1002" s="3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</row>
    <row r="1003" ht="15.75" customHeight="1">
      <c r="A1003" s="1"/>
      <c r="B1003" s="1"/>
      <c r="C1003" s="1"/>
      <c r="D1003" s="2"/>
      <c r="E1003" s="3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</row>
    <row r="1004" ht="15.75" customHeight="1">
      <c r="A1004" s="1"/>
      <c r="B1004" s="1"/>
      <c r="C1004" s="1"/>
      <c r="D1004" s="2"/>
      <c r="E1004" s="3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</row>
    <row r="1005" ht="15.75" customHeight="1">
      <c r="A1005" s="1"/>
      <c r="B1005" s="1"/>
      <c r="C1005" s="1"/>
      <c r="D1005" s="2"/>
      <c r="E1005" s="3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</row>
    <row r="1006" ht="15.75" customHeight="1">
      <c r="A1006" s="1"/>
      <c r="B1006" s="1"/>
      <c r="C1006" s="1"/>
      <c r="D1006" s="2"/>
      <c r="E1006" s="3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</row>
    <row r="1007" ht="15.75" customHeight="1">
      <c r="A1007" s="1"/>
      <c r="B1007" s="1"/>
      <c r="C1007" s="1"/>
      <c r="D1007" s="2"/>
      <c r="E1007" s="3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</row>
    <row r="1008" ht="15.75" customHeight="1">
      <c r="A1008" s="1"/>
      <c r="B1008" s="1"/>
      <c r="C1008" s="1"/>
      <c r="D1008" s="2"/>
      <c r="E1008" s="3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</row>
    <row r="1009" ht="15.75" customHeight="1">
      <c r="A1009" s="1"/>
      <c r="B1009" s="1"/>
      <c r="C1009" s="1"/>
      <c r="D1009" s="2"/>
      <c r="E1009" s="3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</row>
    <row r="1010" ht="15.75" customHeight="1">
      <c r="A1010" s="1"/>
      <c r="B1010" s="1"/>
      <c r="C1010" s="1"/>
      <c r="D1010" s="2"/>
      <c r="E1010" s="3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</row>
    <row r="1011" ht="15.75" customHeight="1">
      <c r="A1011" s="1"/>
      <c r="B1011" s="1"/>
      <c r="C1011" s="1"/>
      <c r="D1011" s="2"/>
      <c r="E1011" s="3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</row>
    <row r="1012" ht="15.75" customHeight="1">
      <c r="A1012" s="1"/>
      <c r="B1012" s="1"/>
      <c r="C1012" s="1"/>
      <c r="D1012" s="2"/>
      <c r="E1012" s="3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</row>
    <row r="1013" ht="15.75" customHeight="1">
      <c r="A1013" s="1"/>
      <c r="B1013" s="1"/>
      <c r="C1013" s="1"/>
      <c r="D1013" s="2"/>
      <c r="E1013" s="3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</row>
  </sheetData>
  <mergeCells count="10">
    <mergeCell ref="B49:F49"/>
    <mergeCell ref="B50:F50"/>
    <mergeCell ref="B63:F63"/>
    <mergeCell ref="B67:F67"/>
    <mergeCell ref="B72:D72"/>
    <mergeCell ref="B2:G2"/>
    <mergeCell ref="C12:F12"/>
    <mergeCell ref="C29:E29"/>
    <mergeCell ref="C32:E32"/>
    <mergeCell ref="B62:F62"/>
  </mergeCells>
  <dataValidations>
    <dataValidation type="decimal" allowBlank="1" showInputMessage="1" showErrorMessage="1" prompt="Entre 1 y 9 personas." sqref="B89">
      <formula1>1.0</formula1>
      <formula2>9.0</formula2>
    </dataValidation>
  </dataValidations>
  <hyperlinks>
    <hyperlink r:id="rId1" location="v=onepage&amp;q=e7%20part-time%20members&amp;f=false" ref="H36"/>
    <hyperlink r:id="rId2" location="v=onepage&amp;q=e7%20part-time%20members&amp;f=false" ref="H54"/>
  </hyperlinks>
  <printOptions/>
  <pageMargins bottom="1.0" footer="0.0" header="0.0" left="0.75" right="0.75" top="1.0"/>
  <pageSetup orientation="portrait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7.75"/>
    <col customWidth="1" min="2" max="2" width="32.13"/>
    <col customWidth="1" min="3" max="3" width="33.38"/>
    <col customWidth="1" min="4" max="4" width="38.63"/>
    <col customWidth="1" min="5" max="5" width="13.63"/>
    <col customWidth="1" min="6" max="6" width="16.13"/>
    <col customWidth="1" min="7" max="7" width="16.75"/>
    <col customWidth="1" min="8" max="8" width="34.38"/>
    <col customWidth="1" min="9" max="9" width="10.63"/>
    <col customWidth="1" min="10" max="10" width="13.75"/>
    <col customWidth="1" min="11" max="26" width="9.13"/>
  </cols>
  <sheetData>
    <row r="1" ht="27.75" customHeight="1">
      <c r="A1" s="1"/>
      <c r="B1" s="1"/>
      <c r="C1" s="1"/>
      <c r="D1" s="2"/>
      <c r="E1" s="3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7.75" customHeight="1">
      <c r="A2" s="4"/>
      <c r="B2" s="5" t="s">
        <v>0</v>
      </c>
      <c r="C2" s="6"/>
      <c r="D2" s="6"/>
      <c r="E2" s="6"/>
      <c r="F2" s="6"/>
      <c r="G2" s="7"/>
      <c r="H2" s="8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7.75" customHeight="1">
      <c r="A3" s="4"/>
      <c r="B3" s="9" t="s">
        <v>1</v>
      </c>
      <c r="C3" s="10" t="s">
        <v>2</v>
      </c>
      <c r="D3" s="11"/>
      <c r="E3" s="11"/>
      <c r="F3" s="11"/>
      <c r="G3" s="12"/>
      <c r="H3" s="13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7.75" customHeight="1">
      <c r="A4" s="4"/>
      <c r="B4" s="14" t="s">
        <v>3</v>
      </c>
      <c r="C4" s="15" t="s">
        <v>4</v>
      </c>
      <c r="D4" s="16"/>
      <c r="E4" s="16"/>
      <c r="F4" s="16"/>
      <c r="G4" s="17"/>
      <c r="H4" s="13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7.75" customHeight="1">
      <c r="A5" s="1"/>
      <c r="B5" s="18"/>
      <c r="C5" s="1"/>
      <c r="D5" s="19"/>
      <c r="E5" s="19"/>
      <c r="F5" s="19"/>
      <c r="G5" s="19"/>
      <c r="H5" s="19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7.75" customHeight="1">
      <c r="A6" s="1"/>
      <c r="B6" s="1"/>
      <c r="C6" s="1"/>
      <c r="D6" s="2"/>
      <c r="E6" s="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75" customHeight="1">
      <c r="A7" s="20" t="s">
        <v>5</v>
      </c>
      <c r="B7" s="21" t="s">
        <v>6</v>
      </c>
      <c r="C7" s="22" t="s">
        <v>7</v>
      </c>
      <c r="D7" s="22" t="s">
        <v>8</v>
      </c>
      <c r="E7" s="21" t="s">
        <v>9</v>
      </c>
      <c r="F7" s="21" t="s">
        <v>10</v>
      </c>
      <c r="G7" s="21" t="s">
        <v>11</v>
      </c>
      <c r="H7" s="19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</row>
    <row r="8" ht="27.75" customHeight="1">
      <c r="A8" s="1"/>
      <c r="B8" s="23" t="s">
        <v>12</v>
      </c>
      <c r="C8" s="24" t="s">
        <v>13</v>
      </c>
      <c r="D8" s="24" t="s">
        <v>14</v>
      </c>
      <c r="E8" s="25">
        <v>3.0</v>
      </c>
      <c r="F8" s="26">
        <v>1.0</v>
      </c>
      <c r="G8" s="25">
        <v>1.0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27.75" customHeight="1">
      <c r="A9" s="1"/>
      <c r="B9" s="27" t="s">
        <v>15</v>
      </c>
      <c r="C9" s="28" t="s">
        <v>13</v>
      </c>
      <c r="D9" s="28" t="s">
        <v>16</v>
      </c>
      <c r="E9" s="29">
        <v>3.0</v>
      </c>
      <c r="F9" s="30">
        <v>1.0</v>
      </c>
      <c r="G9" s="29">
        <v>1.0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27.75" customHeight="1">
      <c r="A10" s="1"/>
      <c r="B10" s="27" t="s">
        <v>17</v>
      </c>
      <c r="C10" s="28" t="s">
        <v>13</v>
      </c>
      <c r="D10" s="28" t="s">
        <v>18</v>
      </c>
      <c r="E10" s="29">
        <v>3.0</v>
      </c>
      <c r="F10" s="30">
        <v>1.0</v>
      </c>
      <c r="G10" s="29">
        <v>1.0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27.75" customHeight="1">
      <c r="A11" s="1"/>
      <c r="B11" s="31"/>
      <c r="C11" s="32" t="s">
        <v>19</v>
      </c>
      <c r="D11" s="6"/>
      <c r="E11" s="6"/>
      <c r="F11" s="7"/>
      <c r="G11" s="33">
        <f>SUM(G8:G10)</f>
        <v>3</v>
      </c>
      <c r="H11" s="20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27.75" customHeight="1">
      <c r="A12" s="1"/>
      <c r="B12" s="20"/>
      <c r="C12" s="34"/>
      <c r="D12" s="3"/>
      <c r="E12" s="3"/>
      <c r="F12" s="3"/>
      <c r="G12" s="35"/>
      <c r="H12" s="20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27.75" customHeight="1">
      <c r="A13" s="1"/>
      <c r="B13" s="20"/>
      <c r="C13" s="36"/>
      <c r="D13" s="36"/>
      <c r="E13" s="37"/>
      <c r="F13" s="20"/>
      <c r="G13" s="20"/>
      <c r="H13" s="20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27.75" customHeight="1">
      <c r="A14" s="20" t="s">
        <v>20</v>
      </c>
      <c r="B14" s="21" t="s">
        <v>21</v>
      </c>
      <c r="C14" s="21" t="s">
        <v>22</v>
      </c>
      <c r="D14" s="22" t="s">
        <v>23</v>
      </c>
      <c r="E14" s="22" t="s">
        <v>24</v>
      </c>
      <c r="F14" s="21" t="s">
        <v>9</v>
      </c>
      <c r="G14" s="19"/>
      <c r="H14" s="19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38"/>
      <c r="U14" s="1"/>
      <c r="V14" s="1"/>
      <c r="W14" s="1"/>
      <c r="X14" s="1"/>
      <c r="Y14" s="1"/>
      <c r="Z14" s="1"/>
    </row>
    <row r="15" ht="27.75" customHeight="1">
      <c r="A15" s="1"/>
      <c r="B15" s="39" t="s">
        <v>25</v>
      </c>
      <c r="C15" s="40"/>
      <c r="D15" s="41">
        <v>3.0</v>
      </c>
      <c r="E15" s="42" t="s">
        <v>26</v>
      </c>
      <c r="F15" s="42">
        <v>5.0</v>
      </c>
      <c r="G15" s="1"/>
      <c r="H15" s="1"/>
      <c r="I15" s="1"/>
      <c r="J15" s="1"/>
      <c r="K15" s="38"/>
      <c r="L15" s="1"/>
      <c r="M15" s="1"/>
      <c r="N15" s="1"/>
      <c r="O15" s="1"/>
      <c r="P15" s="1"/>
      <c r="Q15" s="1"/>
      <c r="R15" s="1"/>
      <c r="S15" s="1"/>
      <c r="T15" s="38"/>
      <c r="U15" s="1"/>
      <c r="V15" s="1"/>
      <c r="W15" s="1"/>
      <c r="X15" s="1"/>
      <c r="Y15" s="1"/>
      <c r="Z15" s="1"/>
    </row>
    <row r="16" ht="27.75" customHeight="1">
      <c r="A16" s="1"/>
      <c r="B16" s="43" t="s">
        <v>27</v>
      </c>
      <c r="C16" s="44"/>
      <c r="D16" s="45">
        <v>6.0</v>
      </c>
      <c r="E16" s="46" t="s">
        <v>28</v>
      </c>
      <c r="F16" s="46">
        <v>10.0</v>
      </c>
      <c r="G16" s="1"/>
      <c r="H16" s="1"/>
      <c r="I16" s="1"/>
      <c r="J16" s="1"/>
      <c r="K16" s="38"/>
      <c r="L16" s="1"/>
      <c r="M16" s="1"/>
      <c r="N16" s="1"/>
      <c r="O16" s="1"/>
      <c r="P16" s="1"/>
      <c r="Q16" s="1"/>
      <c r="R16" s="1"/>
      <c r="S16" s="1"/>
      <c r="T16" s="38"/>
      <c r="U16" s="1"/>
      <c r="V16" s="1"/>
      <c r="W16" s="1"/>
      <c r="X16" s="1"/>
      <c r="Y16" s="1"/>
      <c r="Z16" s="1"/>
    </row>
    <row r="17" ht="27.75" customHeight="1">
      <c r="A17" s="1"/>
      <c r="B17" s="43" t="s">
        <v>29</v>
      </c>
      <c r="C17" s="44"/>
      <c r="D17" s="45">
        <v>8.0</v>
      </c>
      <c r="E17" s="46" t="s">
        <v>13</v>
      </c>
      <c r="F17" s="46">
        <v>15.0</v>
      </c>
      <c r="G17" s="1"/>
      <c r="H17" s="1"/>
      <c r="I17" s="1"/>
      <c r="J17" s="1"/>
      <c r="K17" s="38"/>
      <c r="L17" s="1"/>
      <c r="M17" s="1"/>
      <c r="N17" s="1"/>
      <c r="O17" s="1"/>
      <c r="P17" s="1"/>
      <c r="Q17" s="1"/>
      <c r="R17" s="1"/>
      <c r="S17" s="1"/>
      <c r="T17" s="38"/>
      <c r="U17" s="1"/>
      <c r="V17" s="1"/>
      <c r="W17" s="1"/>
      <c r="X17" s="1"/>
      <c r="Y17" s="1"/>
      <c r="Z17" s="1"/>
    </row>
    <row r="18" ht="27.75" customHeight="1">
      <c r="A18" s="1"/>
      <c r="B18" s="43" t="s">
        <v>30</v>
      </c>
      <c r="C18" s="44"/>
      <c r="D18" s="45">
        <v>3.0</v>
      </c>
      <c r="E18" s="46" t="s">
        <v>26</v>
      </c>
      <c r="F18" s="46">
        <v>5.0</v>
      </c>
      <c r="G18" s="1"/>
      <c r="H18" s="1"/>
      <c r="I18" s="1"/>
      <c r="J18" s="1"/>
      <c r="K18" s="38"/>
      <c r="L18" s="1"/>
      <c r="M18" s="1"/>
      <c r="N18" s="1"/>
      <c r="O18" s="1"/>
      <c r="P18" s="1"/>
      <c r="Q18" s="1"/>
      <c r="R18" s="1"/>
      <c r="S18" s="1"/>
      <c r="T18" s="38"/>
      <c r="U18" s="1"/>
      <c r="V18" s="1"/>
      <c r="W18" s="1"/>
      <c r="X18" s="1"/>
      <c r="Y18" s="1"/>
      <c r="Z18" s="1"/>
    </row>
    <row r="19" ht="27.75" customHeight="1">
      <c r="A19" s="1"/>
      <c r="B19" s="43" t="s">
        <v>31</v>
      </c>
      <c r="C19" s="44"/>
      <c r="D19" s="47">
        <v>7.0</v>
      </c>
      <c r="E19" s="46" t="s">
        <v>13</v>
      </c>
      <c r="F19" s="46">
        <v>15.0</v>
      </c>
      <c r="G19" s="1"/>
      <c r="H19" s="1"/>
      <c r="I19" s="1"/>
      <c r="J19" s="1"/>
      <c r="K19" s="38"/>
      <c r="L19" s="1"/>
      <c r="M19" s="1"/>
      <c r="N19" s="1"/>
      <c r="O19" s="1"/>
      <c r="P19" s="1"/>
      <c r="Q19" s="1"/>
      <c r="R19" s="1"/>
      <c r="S19" s="1"/>
      <c r="T19" s="38"/>
      <c r="U19" s="1"/>
      <c r="V19" s="1"/>
      <c r="W19" s="1"/>
      <c r="X19" s="1"/>
      <c r="Y19" s="1"/>
      <c r="Z19" s="1"/>
    </row>
    <row r="20" ht="27.75" customHeight="1">
      <c r="A20" s="1"/>
      <c r="B20" s="43" t="s">
        <v>32</v>
      </c>
      <c r="C20" s="44"/>
      <c r="D20" s="45">
        <v>4.0</v>
      </c>
      <c r="E20" s="46" t="s">
        <v>28</v>
      </c>
      <c r="F20" s="46">
        <v>10.0</v>
      </c>
      <c r="G20" s="1"/>
      <c r="H20" s="1"/>
      <c r="I20" s="1"/>
      <c r="J20" s="1"/>
      <c r="K20" s="38"/>
      <c r="L20" s="1"/>
      <c r="M20" s="1"/>
      <c r="N20" s="1"/>
      <c r="O20" s="1"/>
      <c r="P20" s="1"/>
      <c r="Q20" s="1"/>
      <c r="R20" s="1"/>
      <c r="S20" s="1"/>
      <c r="T20" s="38"/>
      <c r="U20" s="1"/>
      <c r="V20" s="1"/>
      <c r="W20" s="1"/>
      <c r="X20" s="1"/>
      <c r="Y20" s="1"/>
      <c r="Z20" s="1"/>
    </row>
    <row r="21" ht="27.75" customHeight="1">
      <c r="A21" s="1"/>
      <c r="B21" s="43" t="s">
        <v>33</v>
      </c>
      <c r="C21" s="44"/>
      <c r="D21" s="45">
        <v>3.0</v>
      </c>
      <c r="E21" s="46" t="s">
        <v>26</v>
      </c>
      <c r="F21" s="46">
        <v>5.0</v>
      </c>
      <c r="G21" s="1"/>
      <c r="H21" s="1"/>
      <c r="I21" s="1"/>
      <c r="J21" s="1"/>
      <c r="K21" s="38"/>
      <c r="L21" s="1"/>
      <c r="M21" s="1"/>
      <c r="N21" s="1"/>
      <c r="O21" s="1"/>
      <c r="P21" s="1"/>
      <c r="Q21" s="1"/>
      <c r="R21" s="1"/>
      <c r="S21" s="1"/>
      <c r="T21" s="38"/>
      <c r="U21" s="1"/>
      <c r="V21" s="1"/>
      <c r="W21" s="1"/>
      <c r="X21" s="1"/>
      <c r="Y21" s="1"/>
      <c r="Z21" s="1"/>
    </row>
    <row r="22" ht="27.75" customHeight="1">
      <c r="A22" s="1"/>
      <c r="B22" s="43" t="s">
        <v>34</v>
      </c>
      <c r="C22" s="44"/>
      <c r="D22" s="45">
        <v>3.0</v>
      </c>
      <c r="E22" s="46" t="s">
        <v>26</v>
      </c>
      <c r="F22" s="46">
        <v>5.0</v>
      </c>
      <c r="G22" s="1"/>
      <c r="H22" s="1"/>
      <c r="I22" s="1"/>
      <c r="J22" s="1"/>
      <c r="K22" s="38"/>
      <c r="L22" s="1"/>
      <c r="M22" s="1"/>
      <c r="N22" s="1"/>
      <c r="O22" s="1"/>
      <c r="P22" s="1"/>
      <c r="Q22" s="1"/>
      <c r="R22" s="1"/>
      <c r="S22" s="1"/>
      <c r="T22" s="38"/>
      <c r="U22" s="1"/>
      <c r="V22" s="1"/>
      <c r="W22" s="1"/>
      <c r="X22" s="1"/>
      <c r="Y22" s="1"/>
      <c r="Z22" s="1"/>
    </row>
    <row r="23" ht="27.75" customHeight="1">
      <c r="A23" s="1"/>
      <c r="B23" s="43" t="s">
        <v>35</v>
      </c>
      <c r="C23" s="44"/>
      <c r="D23" s="45">
        <v>4.0</v>
      </c>
      <c r="E23" s="46" t="s">
        <v>28</v>
      </c>
      <c r="F23" s="46">
        <v>10.0</v>
      </c>
      <c r="G23" s="1"/>
      <c r="H23" s="1"/>
      <c r="I23" s="1"/>
      <c r="J23" s="1"/>
      <c r="K23" s="38"/>
      <c r="L23" s="1"/>
      <c r="M23" s="1"/>
      <c r="N23" s="1"/>
      <c r="O23" s="1"/>
      <c r="P23" s="1"/>
      <c r="Q23" s="1"/>
      <c r="R23" s="1"/>
      <c r="S23" s="1"/>
      <c r="T23" s="38"/>
      <c r="U23" s="1"/>
      <c r="V23" s="1"/>
      <c r="W23" s="1"/>
      <c r="X23" s="1"/>
      <c r="Y23" s="1"/>
      <c r="Z23" s="1"/>
    </row>
    <row r="24" ht="27.75" customHeight="1">
      <c r="A24" s="1"/>
      <c r="B24" s="43" t="s">
        <v>36</v>
      </c>
      <c r="C24" s="44"/>
      <c r="D24" s="45">
        <v>3.0</v>
      </c>
      <c r="E24" s="46" t="s">
        <v>26</v>
      </c>
      <c r="F24" s="46">
        <v>5.0</v>
      </c>
      <c r="G24" s="1"/>
      <c r="H24" s="1"/>
      <c r="I24" s="1"/>
      <c r="J24" s="1"/>
      <c r="K24" s="38"/>
      <c r="L24" s="1"/>
      <c r="M24" s="1"/>
      <c r="N24" s="1"/>
      <c r="O24" s="1"/>
      <c r="P24" s="1"/>
      <c r="Q24" s="1"/>
      <c r="R24" s="1"/>
      <c r="S24" s="1"/>
      <c r="T24" s="38"/>
      <c r="U24" s="1"/>
      <c r="V24" s="1"/>
      <c r="W24" s="1"/>
      <c r="X24" s="1"/>
      <c r="Y24" s="1"/>
      <c r="Z24" s="1"/>
    </row>
    <row r="25" ht="27.75" customHeight="1">
      <c r="A25" s="1"/>
      <c r="B25" s="49"/>
      <c r="C25" s="50" t="s">
        <v>37</v>
      </c>
      <c r="D25" s="51"/>
      <c r="E25" s="52"/>
      <c r="F25" s="53">
        <f>SUM(F15:F24)</f>
        <v>85</v>
      </c>
      <c r="G25" s="1"/>
      <c r="H25" s="20"/>
      <c r="I25" s="1"/>
      <c r="J25" s="1"/>
      <c r="K25" s="38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27.75" customHeight="1">
      <c r="A26" s="1"/>
      <c r="B26" s="1"/>
      <c r="C26" s="1"/>
      <c r="D26" s="2"/>
      <c r="E26" s="3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27.75" customHeight="1">
      <c r="A27" s="1"/>
      <c r="B27" s="1"/>
      <c r="C27" s="1"/>
      <c r="D27" s="2"/>
      <c r="E27" s="3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27.75" customHeight="1">
      <c r="A28" s="20" t="s">
        <v>38</v>
      </c>
      <c r="B28" s="54"/>
      <c r="C28" s="32" t="s">
        <v>146</v>
      </c>
      <c r="D28" s="6"/>
      <c r="E28" s="7"/>
      <c r="F28" s="33">
        <f>G11+F25</f>
        <v>88</v>
      </c>
      <c r="G28" s="1"/>
      <c r="H28" s="20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27.75" customHeight="1">
      <c r="A29" s="1"/>
      <c r="B29" s="1"/>
      <c r="C29" s="1"/>
      <c r="D29" s="2"/>
      <c r="E29" s="3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27.75" customHeight="1">
      <c r="A30" s="1"/>
      <c r="B30" s="3"/>
      <c r="C30" s="1"/>
      <c r="D30" s="2"/>
      <c r="E30" s="3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27.75" customHeight="1">
      <c r="A31" s="20" t="s">
        <v>40</v>
      </c>
      <c r="B31" s="22" t="s">
        <v>41</v>
      </c>
      <c r="C31" s="22" t="s">
        <v>42</v>
      </c>
      <c r="D31" s="21" t="s">
        <v>43</v>
      </c>
      <c r="E31" s="21" t="s">
        <v>9</v>
      </c>
      <c r="F31" s="21" t="s">
        <v>44</v>
      </c>
      <c r="G31" s="21" t="s">
        <v>45</v>
      </c>
      <c r="H31" s="1" t="s">
        <v>46</v>
      </c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</row>
    <row r="32" ht="27.75" customHeight="1">
      <c r="A32" s="1"/>
      <c r="B32" s="55" t="s">
        <v>47</v>
      </c>
      <c r="C32" s="55" t="s">
        <v>48</v>
      </c>
      <c r="D32" s="23" t="s">
        <v>49</v>
      </c>
      <c r="E32" s="56">
        <v>2.0</v>
      </c>
      <c r="F32" s="26">
        <v>0.0</v>
      </c>
      <c r="G32" s="56">
        <v>0.0</v>
      </c>
      <c r="H32" s="57" t="s">
        <v>50</v>
      </c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55" t="s">
        <v>51</v>
      </c>
      <c r="C33" s="55" t="s">
        <v>48</v>
      </c>
      <c r="D33" s="27" t="s">
        <v>52</v>
      </c>
      <c r="E33" s="58">
        <v>2.0</v>
      </c>
      <c r="F33" s="30">
        <v>5.0</v>
      </c>
      <c r="G33" s="58">
        <v>10.0</v>
      </c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27.75" customHeight="1">
      <c r="A34" s="1"/>
      <c r="B34" s="55" t="s">
        <v>53</v>
      </c>
      <c r="C34" s="55" t="s">
        <v>48</v>
      </c>
      <c r="D34" s="59"/>
      <c r="E34" s="58">
        <v>1.0</v>
      </c>
      <c r="F34" s="30">
        <v>5.0</v>
      </c>
      <c r="G34" s="58">
        <v>5.0</v>
      </c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55" t="s">
        <v>54</v>
      </c>
      <c r="C35" s="55" t="s">
        <v>48</v>
      </c>
      <c r="D35" s="27" t="s">
        <v>55</v>
      </c>
      <c r="E35" s="58">
        <v>1.0</v>
      </c>
      <c r="F35" s="30">
        <v>3.0</v>
      </c>
      <c r="G35" s="58">
        <v>3.0</v>
      </c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27.75" customHeight="1">
      <c r="A36" s="1"/>
      <c r="B36" s="55" t="s">
        <v>56</v>
      </c>
      <c r="C36" s="55" t="s">
        <v>48</v>
      </c>
      <c r="D36" s="27" t="s">
        <v>57</v>
      </c>
      <c r="E36" s="58">
        <v>1.0</v>
      </c>
      <c r="F36" s="30">
        <v>0.0</v>
      </c>
      <c r="G36" s="58">
        <v>0.0</v>
      </c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27.75" customHeight="1">
      <c r="A37" s="1"/>
      <c r="B37" s="55" t="s">
        <v>58</v>
      </c>
      <c r="C37" s="55" t="s">
        <v>48</v>
      </c>
      <c r="D37" s="27" t="s">
        <v>59</v>
      </c>
      <c r="E37" s="58" t="s">
        <v>88</v>
      </c>
      <c r="F37" s="30">
        <v>3.0</v>
      </c>
      <c r="G37" s="58" t="s">
        <v>84</v>
      </c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27.75" customHeight="1">
      <c r="A38" s="1"/>
      <c r="B38" s="55" t="s">
        <v>60</v>
      </c>
      <c r="C38" s="55" t="s">
        <v>48</v>
      </c>
      <c r="D38" s="27" t="s">
        <v>61</v>
      </c>
      <c r="E38" s="58" t="s">
        <v>88</v>
      </c>
      <c r="F38" s="30">
        <v>5.0</v>
      </c>
      <c r="G38" s="58" t="s">
        <v>147</v>
      </c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27.75" customHeight="1">
      <c r="A39" s="1"/>
      <c r="B39" s="55" t="s">
        <v>62</v>
      </c>
      <c r="C39" s="55" t="s">
        <v>48</v>
      </c>
      <c r="D39" s="27" t="s">
        <v>63</v>
      </c>
      <c r="E39" s="58">
        <v>2.0</v>
      </c>
      <c r="F39" s="30">
        <v>3.0</v>
      </c>
      <c r="G39" s="58">
        <v>6.0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27.75" customHeight="1">
      <c r="A40" s="1"/>
      <c r="B40" s="55" t="s">
        <v>64</v>
      </c>
      <c r="C40" s="55" t="s">
        <v>48</v>
      </c>
      <c r="D40" s="27" t="s">
        <v>148</v>
      </c>
      <c r="E40" s="58">
        <v>1.0</v>
      </c>
      <c r="F40" s="30">
        <v>0.0</v>
      </c>
      <c r="G40" s="58">
        <v>0.0</v>
      </c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27.75" customHeight="1">
      <c r="A41" s="1"/>
      <c r="B41" s="55" t="s">
        <v>66</v>
      </c>
      <c r="C41" s="55" t="s">
        <v>48</v>
      </c>
      <c r="D41" s="59"/>
      <c r="E41" s="58">
        <v>1.0</v>
      </c>
      <c r="F41" s="30">
        <v>5.0</v>
      </c>
      <c r="G41" s="58">
        <v>5.0</v>
      </c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55" t="s">
        <v>68</v>
      </c>
      <c r="C42" s="55" t="s">
        <v>48</v>
      </c>
      <c r="D42" s="27" t="s">
        <v>69</v>
      </c>
      <c r="E42" s="58">
        <v>1.0</v>
      </c>
      <c r="F42" s="30">
        <v>5.0</v>
      </c>
      <c r="G42" s="58">
        <v>5.0</v>
      </c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55" t="s">
        <v>70</v>
      </c>
      <c r="C43" s="55" t="s">
        <v>48</v>
      </c>
      <c r="D43" s="27" t="s">
        <v>71</v>
      </c>
      <c r="E43" s="58">
        <v>1.0</v>
      </c>
      <c r="F43" s="30">
        <v>5.0</v>
      </c>
      <c r="G43" s="58">
        <v>5.0</v>
      </c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55" t="s">
        <v>72</v>
      </c>
      <c r="C44" s="55" t="s">
        <v>48</v>
      </c>
      <c r="D44" s="27" t="s">
        <v>73</v>
      </c>
      <c r="E44" s="58">
        <v>1.0</v>
      </c>
      <c r="F44" s="30">
        <v>4.0</v>
      </c>
      <c r="G44" s="58">
        <v>4.0</v>
      </c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27.75" customHeight="1">
      <c r="A45" s="1"/>
      <c r="B45" s="32" t="s">
        <v>149</v>
      </c>
      <c r="C45" s="6"/>
      <c r="D45" s="6"/>
      <c r="E45" s="6"/>
      <c r="F45" s="7"/>
      <c r="G45" s="60">
        <f>SUM(G32:G44)</f>
        <v>43</v>
      </c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27.75" customHeight="1">
      <c r="A46" s="1"/>
      <c r="B46" s="32" t="s">
        <v>150</v>
      </c>
      <c r="C46" s="6"/>
      <c r="D46" s="6"/>
      <c r="E46" s="6"/>
      <c r="F46" s="7"/>
      <c r="G46" s="53">
        <f>0.6+(0.01*G45)</f>
        <v>1.03</v>
      </c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27.75" customHeight="1">
      <c r="A47" s="1"/>
      <c r="B47" s="34"/>
      <c r="C47" s="3"/>
      <c r="D47" s="3"/>
      <c r="E47" s="3"/>
      <c r="F47" s="3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27.75" customHeight="1">
      <c r="A48" s="1"/>
      <c r="B48" s="61"/>
      <c r="C48" s="61"/>
      <c r="D48" s="62"/>
      <c r="E48" s="61"/>
      <c r="F48" s="61"/>
      <c r="G48" s="6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20" t="s">
        <v>76</v>
      </c>
      <c r="B49" s="22" t="s">
        <v>77</v>
      </c>
      <c r="C49" s="22" t="s">
        <v>78</v>
      </c>
      <c r="D49" s="21" t="s">
        <v>79</v>
      </c>
      <c r="E49" s="21" t="s">
        <v>9</v>
      </c>
      <c r="F49" s="21" t="s">
        <v>44</v>
      </c>
      <c r="G49" s="21" t="s">
        <v>45</v>
      </c>
      <c r="H49" s="1" t="s">
        <v>80</v>
      </c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</row>
    <row r="50" ht="15.75" customHeight="1">
      <c r="A50" s="1"/>
      <c r="B50" s="63" t="s">
        <v>81</v>
      </c>
      <c r="C50" s="55" t="s">
        <v>82</v>
      </c>
      <c r="D50" s="23" t="s">
        <v>151</v>
      </c>
      <c r="E50" s="56" t="s">
        <v>84</v>
      </c>
      <c r="F50" s="26">
        <v>3.0</v>
      </c>
      <c r="G50" s="56" t="s">
        <v>85</v>
      </c>
      <c r="H50" s="57" t="s">
        <v>50</v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63" t="s">
        <v>86</v>
      </c>
      <c r="C51" s="55" t="s">
        <v>82</v>
      </c>
      <c r="D51" s="27" t="s">
        <v>152</v>
      </c>
      <c r="E51" s="58" t="s">
        <v>88</v>
      </c>
      <c r="F51" s="30">
        <v>3.0</v>
      </c>
      <c r="G51" s="58" t="s">
        <v>84</v>
      </c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63" t="s">
        <v>89</v>
      </c>
      <c r="C52" s="55" t="s">
        <v>82</v>
      </c>
      <c r="D52" s="27" t="s">
        <v>153</v>
      </c>
      <c r="E52" s="58">
        <v>1.0</v>
      </c>
      <c r="F52" s="30">
        <v>3.0</v>
      </c>
      <c r="G52" s="58">
        <v>3.0</v>
      </c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63" t="s">
        <v>91</v>
      </c>
      <c r="C53" s="55" t="s">
        <v>82</v>
      </c>
      <c r="D53" s="27" t="s">
        <v>154</v>
      </c>
      <c r="E53" s="58" t="s">
        <v>88</v>
      </c>
      <c r="F53" s="30">
        <v>2.0</v>
      </c>
      <c r="G53" s="58">
        <v>1.0</v>
      </c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27.75" customHeight="1">
      <c r="A54" s="1"/>
      <c r="B54" s="63" t="s">
        <v>93</v>
      </c>
      <c r="C54" s="55" t="s">
        <v>94</v>
      </c>
      <c r="D54" s="27" t="s">
        <v>155</v>
      </c>
      <c r="E54" s="58">
        <v>1.0</v>
      </c>
      <c r="F54" s="30">
        <v>3.0</v>
      </c>
      <c r="G54" s="58">
        <v>3.0</v>
      </c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63" t="s">
        <v>96</v>
      </c>
      <c r="C55" s="55" t="s">
        <v>97</v>
      </c>
      <c r="D55" s="27" t="s">
        <v>156</v>
      </c>
      <c r="E55" s="58">
        <v>2.0</v>
      </c>
      <c r="F55" s="30">
        <v>4.0</v>
      </c>
      <c r="G55" s="58">
        <v>8.0</v>
      </c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63" t="s">
        <v>99</v>
      </c>
      <c r="C56" s="55" t="s">
        <v>100</v>
      </c>
      <c r="D56" s="27" t="s">
        <v>101</v>
      </c>
      <c r="E56" s="58">
        <v>-1.0</v>
      </c>
      <c r="F56" s="30">
        <v>2.0</v>
      </c>
      <c r="G56" s="58">
        <v>-2.0</v>
      </c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63" t="s">
        <v>102</v>
      </c>
      <c r="C57" s="55" t="s">
        <v>103</v>
      </c>
      <c r="D57" s="27" t="s">
        <v>157</v>
      </c>
      <c r="E57" s="58">
        <v>-1.0</v>
      </c>
      <c r="F57" s="30">
        <v>4.0</v>
      </c>
      <c r="G57" s="58">
        <v>-4.0</v>
      </c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27.75" customHeight="1">
      <c r="A58" s="1"/>
      <c r="B58" s="32" t="s">
        <v>105</v>
      </c>
      <c r="C58" s="6"/>
      <c r="D58" s="6"/>
      <c r="E58" s="6"/>
      <c r="F58" s="7"/>
      <c r="G58" s="21">
        <f>SUM(G50:G57)</f>
        <v>9</v>
      </c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27.75" customHeight="1">
      <c r="A59" s="1"/>
      <c r="B59" s="32" t="s">
        <v>158</v>
      </c>
      <c r="C59" s="6"/>
      <c r="D59" s="6"/>
      <c r="E59" s="6"/>
      <c r="F59" s="7"/>
      <c r="G59" s="21">
        <f>1.4 + (-0.03*G58)</f>
        <v>1.13</v>
      </c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27.75" customHeight="1">
      <c r="A60" s="1"/>
      <c r="B60" s="32"/>
      <c r="C60" s="64"/>
      <c r="D60" s="65"/>
      <c r="E60" s="64"/>
      <c r="F60" s="66" t="s">
        <v>107</v>
      </c>
      <c r="G60" s="21">
        <f>COUNTIF($F$50:$F$55,"&lt;3")+COUNTIF($F$56:$F$57,"&gt;3")</f>
        <v>2</v>
      </c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27.75" customHeight="1">
      <c r="A61" s="1"/>
      <c r="B61" s="34"/>
      <c r="C61" s="3"/>
      <c r="D61" s="3"/>
      <c r="E61" s="3"/>
      <c r="F61" s="3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27.75" customHeight="1">
      <c r="A62" s="1"/>
      <c r="B62" s="1"/>
      <c r="C62" s="1"/>
      <c r="D62" s="2"/>
      <c r="E62" s="3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27.75" customHeight="1">
      <c r="A63" s="20" t="s">
        <v>108</v>
      </c>
      <c r="B63" s="67" t="s">
        <v>159</v>
      </c>
      <c r="C63" s="6"/>
      <c r="D63" s="6"/>
      <c r="E63" s="6"/>
      <c r="F63" s="7"/>
      <c r="G63" s="68">
        <f>F28*G46*G59</f>
        <v>102.4232</v>
      </c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27.75" customHeight="1">
      <c r="A64" s="1"/>
      <c r="B64" s="1"/>
      <c r="C64" s="1"/>
      <c r="D64" s="2"/>
      <c r="E64" s="3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27.75" customHeight="1">
      <c r="A65" s="1"/>
      <c r="B65" s="1"/>
      <c r="C65" s="1"/>
      <c r="D65" s="2"/>
      <c r="E65" s="3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69" t="s">
        <v>110</v>
      </c>
      <c r="B66" s="22" t="s">
        <v>111</v>
      </c>
      <c r="C66" s="22" t="s">
        <v>112</v>
      </c>
      <c r="D66" s="22" t="s">
        <v>113</v>
      </c>
      <c r="E66" s="3"/>
      <c r="F66" s="1"/>
      <c r="G66" s="22" t="s">
        <v>114</v>
      </c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27.75" customHeight="1">
      <c r="A67" s="1"/>
      <c r="B67" s="70">
        <v>20.0</v>
      </c>
      <c r="C67" s="70">
        <f>IF($G$60&gt;=5,36,IF(AND(G$60&gt;2,$G$60&lt;=4),28, IF(AND($G$60&gt;=0,$G$60&lt;=2),20,"error")))</f>
        <v>20</v>
      </c>
      <c r="D67" s="71">
        <f>IF($G$60&gt;=5,$G$67*(36/20),IF(AND($G$60&gt;2,$G$60&lt;=4),$G$67*(28/20), IF(AND($G$60&gt;=0,$G$60&lt;=2),$G$67,"error")))</f>
        <v>2.5</v>
      </c>
      <c r="E67" s="3"/>
      <c r="F67" s="1"/>
      <c r="G67" s="72">
        <v>2.5</v>
      </c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27.75" customHeight="1">
      <c r="A68" s="1"/>
      <c r="B68" s="73" t="s">
        <v>115</v>
      </c>
      <c r="C68" s="6"/>
      <c r="D68" s="7"/>
      <c r="E68" s="3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27.75" customHeight="1">
      <c r="A69" s="74" t="s">
        <v>116</v>
      </c>
      <c r="B69" s="70">
        <f t="shared" ref="B69:D69" si="1">$G$63*B67</f>
        <v>2048.464</v>
      </c>
      <c r="C69" s="70">
        <f t="shared" si="1"/>
        <v>2048.464</v>
      </c>
      <c r="D69" s="70">
        <f t="shared" si="1"/>
        <v>256.058</v>
      </c>
      <c r="E69" s="3"/>
      <c r="F69" s="1"/>
      <c r="G69" s="22" t="s">
        <v>117</v>
      </c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27.75" customHeight="1">
      <c r="A70" s="74" t="s">
        <v>118</v>
      </c>
      <c r="B70" s="75">
        <f>B69/(22*G70)</f>
        <v>46.556</v>
      </c>
      <c r="C70" s="75">
        <f>C69/(22*G70)</f>
        <v>46.556</v>
      </c>
      <c r="D70" s="76">
        <f>D69/(22*G70)</f>
        <v>5.8195</v>
      </c>
      <c r="E70" s="3"/>
      <c r="F70" s="1"/>
      <c r="G70" s="72">
        <v>2.0</v>
      </c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27.75" customHeight="1">
      <c r="A71" s="1"/>
      <c r="B71" s="1"/>
      <c r="C71" s="1"/>
      <c r="D71" s="2"/>
      <c r="E71" s="3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27.75" customHeight="1">
      <c r="A72" s="1"/>
      <c r="B72" s="1"/>
      <c r="C72" s="1"/>
      <c r="D72" s="2"/>
      <c r="E72" s="3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27.75" customHeight="1">
      <c r="A73" s="20" t="s">
        <v>119</v>
      </c>
      <c r="B73" s="77" t="s">
        <v>120</v>
      </c>
      <c r="C73" s="78"/>
      <c r="D73" s="65"/>
      <c r="E73" s="64"/>
      <c r="F73" s="79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27.75" customHeight="1">
      <c r="A74" s="1"/>
      <c r="B74" s="54" t="s">
        <v>121</v>
      </c>
      <c r="C74" s="21" t="s">
        <v>122</v>
      </c>
      <c r="D74" s="68" t="s">
        <v>123</v>
      </c>
      <c r="E74" s="68" t="s">
        <v>124</v>
      </c>
      <c r="F74" s="68" t="s">
        <v>125</v>
      </c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27.75" customHeight="1">
      <c r="A75" s="1"/>
      <c r="B75" s="80" t="s">
        <v>126</v>
      </c>
      <c r="C75" s="81">
        <v>0.4</v>
      </c>
      <c r="D75" s="75">
        <f t="shared" ref="D75:F75" si="2">+B69</f>
        <v>2048.464</v>
      </c>
      <c r="E75" s="75">
        <f t="shared" si="2"/>
        <v>2048.464</v>
      </c>
      <c r="F75" s="75">
        <f t="shared" si="2"/>
        <v>256.058</v>
      </c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27.75" customHeight="1">
      <c r="A76" s="1"/>
      <c r="B76" s="80" t="s">
        <v>127</v>
      </c>
      <c r="C76" s="81">
        <f>1-C75</f>
        <v>0.6</v>
      </c>
      <c r="D76" s="70">
        <f t="shared" ref="D76:F76" si="3">+D75*1.5</f>
        <v>3072.696</v>
      </c>
      <c r="E76" s="70">
        <f t="shared" si="3"/>
        <v>3072.696</v>
      </c>
      <c r="F76" s="70">
        <f t="shared" si="3"/>
        <v>384.087</v>
      </c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27.75" customHeight="1">
      <c r="A77" s="1"/>
      <c r="B77" s="82"/>
      <c r="C77" s="81">
        <f>SUM(C75:C76)</f>
        <v>1</v>
      </c>
      <c r="D77" s="75">
        <f t="shared" ref="D77:F77" si="4">+D75+D76</f>
        <v>5121.16</v>
      </c>
      <c r="E77" s="75">
        <f t="shared" si="4"/>
        <v>5121.16</v>
      </c>
      <c r="F77" s="75">
        <f t="shared" si="4"/>
        <v>640.145</v>
      </c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27.75" customHeight="1">
      <c r="A78" s="1"/>
      <c r="B78" s="1"/>
      <c r="C78" s="1"/>
      <c r="D78" s="1"/>
      <c r="E78" s="3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27.75" customHeight="1">
      <c r="A79" s="20" t="s">
        <v>128</v>
      </c>
      <c r="B79" s="77" t="s">
        <v>129</v>
      </c>
      <c r="C79" s="78"/>
      <c r="D79" s="65"/>
      <c r="E79" s="64"/>
      <c r="F79" s="79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27.75" customHeight="1">
      <c r="A80" s="1"/>
      <c r="B80" s="54" t="s">
        <v>121</v>
      </c>
      <c r="C80" s="21" t="s">
        <v>122</v>
      </c>
      <c r="D80" s="68" t="s">
        <v>130</v>
      </c>
      <c r="E80" s="68" t="s">
        <v>131</v>
      </c>
      <c r="F80" s="68" t="s">
        <v>132</v>
      </c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27.75" customHeight="1">
      <c r="A81" s="1"/>
      <c r="B81" s="80" t="s">
        <v>126</v>
      </c>
      <c r="C81" s="81">
        <v>0.4</v>
      </c>
      <c r="D81" s="75">
        <f t="shared" ref="D81:F81" si="5">$C81/$C$81*B$70</f>
        <v>46.556</v>
      </c>
      <c r="E81" s="75">
        <f t="shared" si="5"/>
        <v>46.556</v>
      </c>
      <c r="F81" s="75">
        <f t="shared" si="5"/>
        <v>5.8195</v>
      </c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27.75" customHeight="1">
      <c r="A82" s="1"/>
      <c r="B82" s="80" t="s">
        <v>127</v>
      </c>
      <c r="C82" s="81">
        <f>1-C81</f>
        <v>0.6</v>
      </c>
      <c r="D82" s="70">
        <f t="shared" ref="D82:F82" si="6">$C82/$C$81*B$70</f>
        <v>69.834</v>
      </c>
      <c r="E82" s="70">
        <f t="shared" si="6"/>
        <v>69.834</v>
      </c>
      <c r="F82" s="70">
        <f t="shared" si="6"/>
        <v>8.72925</v>
      </c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27.75" customHeight="1">
      <c r="A83" s="1"/>
      <c r="B83" s="82"/>
      <c r="C83" s="81">
        <f>SUM(C81:C82)</f>
        <v>1</v>
      </c>
      <c r="D83" s="75">
        <f t="shared" ref="D83:F83" si="7">$C83/$C$81*B$70</f>
        <v>116.39</v>
      </c>
      <c r="E83" s="75">
        <f t="shared" si="7"/>
        <v>116.39</v>
      </c>
      <c r="F83" s="75">
        <f t="shared" si="7"/>
        <v>14.54875</v>
      </c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27.75" customHeight="1">
      <c r="A84" s="1"/>
      <c r="B84" s="1"/>
      <c r="C84" s="1"/>
      <c r="D84" s="2"/>
      <c r="E84" s="3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27.75" customHeight="1">
      <c r="A85" s="20" t="s">
        <v>133</v>
      </c>
      <c r="B85" s="83">
        <v>5.0</v>
      </c>
      <c r="C85" s="1"/>
      <c r="D85" s="2"/>
      <c r="E85" s="3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27.75" customHeight="1">
      <c r="A86" s="1"/>
      <c r="B86" s="1"/>
      <c r="C86" s="1"/>
      <c r="D86" s="2"/>
      <c r="E86" s="3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27.75" customHeight="1">
      <c r="A87" s="20" t="s">
        <v>134</v>
      </c>
      <c r="B87" s="68" t="s">
        <v>135</v>
      </c>
      <c r="C87" s="68" t="s">
        <v>136</v>
      </c>
      <c r="D87" s="68" t="s">
        <v>137</v>
      </c>
      <c r="E87" s="3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27.75" customHeight="1">
      <c r="A88" s="84"/>
      <c r="B88" s="85">
        <f>$D$83/$B$85</f>
        <v>23.278</v>
      </c>
      <c r="C88" s="85">
        <f>$E$83/$B$85</f>
        <v>23.278</v>
      </c>
      <c r="D88" s="85">
        <f>$F$83/$B$85</f>
        <v>2.90975</v>
      </c>
      <c r="E88" s="84"/>
      <c r="F88" s="84"/>
      <c r="G88" s="84"/>
      <c r="H88" s="84"/>
      <c r="I88" s="84"/>
      <c r="J88" s="84"/>
      <c r="K88" s="84"/>
      <c r="L88" s="84"/>
      <c r="M88" s="84"/>
      <c r="N88" s="84"/>
      <c r="O88" s="84"/>
      <c r="P88" s="84"/>
      <c r="Q88" s="84"/>
      <c r="R88" s="84"/>
      <c r="S88" s="84"/>
      <c r="T88" s="84"/>
      <c r="U88" s="84"/>
      <c r="V88" s="84"/>
      <c r="W88" s="84"/>
      <c r="X88" s="84"/>
      <c r="Y88" s="84"/>
      <c r="Z88" s="84"/>
    </row>
    <row r="89" ht="15.75" customHeight="1">
      <c r="A89" s="84"/>
      <c r="B89" s="84"/>
      <c r="C89" s="84"/>
      <c r="D89" s="84"/>
      <c r="E89" s="86"/>
      <c r="F89" s="84"/>
      <c r="G89" s="84"/>
      <c r="H89" s="84"/>
      <c r="I89" s="84"/>
      <c r="J89" s="84"/>
      <c r="K89" s="84"/>
      <c r="L89" s="84"/>
      <c r="M89" s="84"/>
      <c r="N89" s="84"/>
      <c r="O89" s="84"/>
      <c r="P89" s="84"/>
      <c r="Q89" s="84"/>
      <c r="R89" s="84"/>
      <c r="S89" s="84"/>
      <c r="T89" s="84"/>
      <c r="U89" s="84"/>
      <c r="V89" s="84"/>
      <c r="W89" s="84"/>
      <c r="X89" s="84"/>
      <c r="Y89" s="84"/>
      <c r="Z89" s="84"/>
    </row>
    <row r="90" ht="15.75" customHeight="1">
      <c r="A90" s="84"/>
      <c r="B90" s="84"/>
      <c r="C90" s="84"/>
      <c r="D90" s="84"/>
      <c r="E90" s="86"/>
      <c r="F90" s="84"/>
      <c r="G90" s="84"/>
      <c r="H90" s="84"/>
      <c r="I90" s="84"/>
      <c r="J90" s="84"/>
      <c r="K90" s="84"/>
      <c r="L90" s="84"/>
      <c r="M90" s="84"/>
      <c r="N90" s="84"/>
      <c r="O90" s="84"/>
      <c r="P90" s="84"/>
      <c r="Q90" s="84"/>
      <c r="R90" s="84"/>
      <c r="S90" s="84"/>
      <c r="T90" s="84"/>
      <c r="U90" s="84"/>
      <c r="V90" s="84"/>
      <c r="W90" s="84"/>
      <c r="X90" s="84"/>
      <c r="Y90" s="84"/>
      <c r="Z90" s="84"/>
    </row>
    <row r="91" ht="15.75" customHeight="1">
      <c r="A91" s="84"/>
      <c r="B91" s="84"/>
      <c r="C91" s="84"/>
      <c r="D91" s="84"/>
      <c r="E91" s="86"/>
      <c r="F91" s="84"/>
      <c r="G91" s="84"/>
      <c r="H91" s="84"/>
      <c r="I91" s="84"/>
      <c r="J91" s="84"/>
      <c r="K91" s="84"/>
      <c r="L91" s="84"/>
      <c r="M91" s="84"/>
      <c r="N91" s="84"/>
      <c r="O91" s="84"/>
      <c r="P91" s="84"/>
      <c r="Q91" s="84"/>
      <c r="R91" s="84"/>
      <c r="S91" s="84"/>
      <c r="T91" s="84"/>
      <c r="U91" s="84"/>
      <c r="V91" s="84"/>
      <c r="W91" s="84"/>
      <c r="X91" s="84"/>
      <c r="Y91" s="84"/>
      <c r="Z91" s="84"/>
    </row>
    <row r="92" ht="15.75" customHeight="1">
      <c r="A92" s="84"/>
      <c r="B92" s="84"/>
      <c r="C92" s="84"/>
      <c r="D92" s="84"/>
      <c r="E92" s="86"/>
      <c r="F92" s="84"/>
      <c r="G92" s="84"/>
      <c r="H92" s="84"/>
      <c r="I92" s="84"/>
      <c r="J92" s="84"/>
      <c r="K92" s="84"/>
      <c r="L92" s="84"/>
      <c r="M92" s="84"/>
      <c r="N92" s="84"/>
      <c r="O92" s="84"/>
      <c r="P92" s="84"/>
      <c r="Q92" s="84"/>
      <c r="R92" s="84"/>
      <c r="S92" s="84"/>
      <c r="T92" s="84"/>
      <c r="U92" s="84"/>
      <c r="V92" s="84"/>
      <c r="W92" s="84"/>
      <c r="X92" s="84"/>
      <c r="Y92" s="84"/>
      <c r="Z92" s="84"/>
    </row>
    <row r="93" ht="15.75" customHeight="1">
      <c r="A93" s="84"/>
      <c r="B93" s="84"/>
      <c r="C93" s="84"/>
      <c r="D93" s="84"/>
      <c r="E93" s="86"/>
      <c r="F93" s="84"/>
      <c r="G93" s="84"/>
      <c r="H93" s="84"/>
      <c r="I93" s="84"/>
      <c r="J93" s="84"/>
      <c r="K93" s="84"/>
      <c r="L93" s="84"/>
      <c r="M93" s="84"/>
      <c r="N93" s="84"/>
      <c r="O93" s="84"/>
      <c r="P93" s="84"/>
      <c r="Q93" s="84"/>
      <c r="R93" s="84"/>
      <c r="S93" s="84"/>
      <c r="T93" s="84"/>
      <c r="U93" s="84"/>
      <c r="V93" s="84"/>
      <c r="W93" s="84"/>
      <c r="X93" s="84"/>
      <c r="Y93" s="84"/>
      <c r="Z93" s="84"/>
    </row>
    <row r="94" ht="15.75" customHeight="1">
      <c r="A94" s="84"/>
      <c r="B94" s="84"/>
      <c r="C94" s="84"/>
      <c r="D94" s="84"/>
      <c r="E94" s="86"/>
      <c r="F94" s="84"/>
      <c r="G94" s="84"/>
      <c r="H94" s="84"/>
      <c r="I94" s="84"/>
      <c r="J94" s="84"/>
      <c r="K94" s="84"/>
      <c r="L94" s="84"/>
      <c r="M94" s="84"/>
      <c r="N94" s="84"/>
      <c r="O94" s="84"/>
      <c r="P94" s="84"/>
      <c r="Q94" s="84"/>
      <c r="R94" s="84"/>
      <c r="S94" s="84"/>
      <c r="T94" s="84"/>
      <c r="U94" s="84"/>
      <c r="V94" s="84"/>
      <c r="W94" s="84"/>
      <c r="X94" s="84"/>
      <c r="Y94" s="84"/>
      <c r="Z94" s="84"/>
    </row>
    <row r="95" ht="15.75" customHeight="1">
      <c r="A95" s="84"/>
      <c r="B95" s="84"/>
      <c r="C95" s="84"/>
      <c r="D95" s="84"/>
      <c r="E95" s="86"/>
      <c r="F95" s="84"/>
      <c r="G95" s="84"/>
      <c r="H95" s="84"/>
      <c r="I95" s="84"/>
      <c r="J95" s="84"/>
      <c r="K95" s="84"/>
      <c r="L95" s="84"/>
      <c r="M95" s="84"/>
      <c r="N95" s="84"/>
      <c r="O95" s="84"/>
      <c r="P95" s="84"/>
      <c r="Q95" s="84"/>
      <c r="R95" s="84"/>
      <c r="S95" s="84"/>
      <c r="T95" s="84"/>
      <c r="U95" s="84"/>
      <c r="V95" s="84"/>
      <c r="W95" s="84"/>
      <c r="X95" s="84"/>
      <c r="Y95" s="84"/>
      <c r="Z95" s="84"/>
    </row>
    <row r="96" ht="15.75" customHeight="1">
      <c r="A96" s="84"/>
      <c r="B96" s="84"/>
      <c r="C96" s="84"/>
      <c r="D96" s="84"/>
      <c r="E96" s="86"/>
      <c r="F96" s="84"/>
      <c r="G96" s="84"/>
      <c r="H96" s="84"/>
      <c r="I96" s="84"/>
      <c r="J96" s="84"/>
      <c r="K96" s="84"/>
      <c r="L96" s="84"/>
      <c r="M96" s="84"/>
      <c r="N96" s="84"/>
      <c r="O96" s="84"/>
      <c r="P96" s="84"/>
      <c r="Q96" s="84"/>
      <c r="R96" s="84"/>
      <c r="S96" s="84"/>
      <c r="T96" s="84"/>
      <c r="U96" s="84"/>
      <c r="V96" s="84"/>
      <c r="W96" s="84"/>
      <c r="X96" s="84"/>
      <c r="Y96" s="84"/>
      <c r="Z96" s="84"/>
    </row>
    <row r="97" ht="15.75" customHeight="1">
      <c r="A97" s="84"/>
      <c r="B97" s="84"/>
      <c r="C97" s="84"/>
      <c r="D97" s="84"/>
      <c r="E97" s="86"/>
      <c r="F97" s="84"/>
      <c r="G97" s="84"/>
      <c r="H97" s="84"/>
      <c r="I97" s="84"/>
      <c r="J97" s="84"/>
      <c r="K97" s="84"/>
      <c r="L97" s="84"/>
      <c r="M97" s="84"/>
      <c r="N97" s="84"/>
      <c r="O97" s="84"/>
      <c r="P97" s="84"/>
      <c r="Q97" s="84"/>
      <c r="R97" s="84"/>
      <c r="S97" s="84"/>
      <c r="T97" s="84"/>
      <c r="U97" s="84"/>
      <c r="V97" s="84"/>
      <c r="W97" s="84"/>
      <c r="X97" s="84"/>
      <c r="Y97" s="84"/>
      <c r="Z97" s="84"/>
    </row>
    <row r="98" ht="15.75" customHeight="1">
      <c r="A98" s="84"/>
      <c r="B98" s="84"/>
      <c r="C98" s="84"/>
      <c r="D98" s="84"/>
      <c r="E98" s="86"/>
      <c r="F98" s="84"/>
      <c r="G98" s="84"/>
      <c r="H98" s="84"/>
      <c r="I98" s="84"/>
      <c r="J98" s="84"/>
      <c r="K98" s="84"/>
      <c r="L98" s="84"/>
      <c r="M98" s="84"/>
      <c r="N98" s="84"/>
      <c r="O98" s="84"/>
      <c r="P98" s="84"/>
      <c r="Q98" s="84"/>
      <c r="R98" s="84"/>
      <c r="S98" s="84"/>
      <c r="T98" s="84"/>
      <c r="U98" s="84"/>
      <c r="V98" s="84"/>
      <c r="W98" s="84"/>
      <c r="X98" s="84"/>
      <c r="Y98" s="84"/>
      <c r="Z98" s="84"/>
    </row>
    <row r="99" ht="15.75" customHeight="1">
      <c r="A99" s="84"/>
      <c r="B99" s="84"/>
      <c r="C99" s="84"/>
      <c r="D99" s="84"/>
      <c r="E99" s="86"/>
      <c r="F99" s="84"/>
      <c r="G99" s="84"/>
      <c r="H99" s="84"/>
      <c r="I99" s="84"/>
      <c r="J99" s="84"/>
      <c r="K99" s="84"/>
      <c r="L99" s="84"/>
      <c r="M99" s="84"/>
      <c r="N99" s="84"/>
      <c r="O99" s="84"/>
      <c r="P99" s="84"/>
      <c r="Q99" s="84"/>
      <c r="R99" s="84"/>
      <c r="S99" s="84"/>
      <c r="T99" s="84"/>
      <c r="U99" s="84"/>
      <c r="V99" s="84"/>
      <c r="W99" s="84"/>
      <c r="X99" s="84"/>
      <c r="Y99" s="84"/>
      <c r="Z99" s="84"/>
    </row>
    <row r="100" ht="15.75" customHeight="1">
      <c r="A100" s="84"/>
      <c r="B100" s="84"/>
      <c r="C100" s="84"/>
      <c r="D100" s="84"/>
      <c r="E100" s="86"/>
      <c r="F100" s="84"/>
      <c r="G100" s="84"/>
      <c r="H100" s="84"/>
      <c r="I100" s="84"/>
      <c r="J100" s="84"/>
      <c r="K100" s="84"/>
      <c r="L100" s="84"/>
      <c r="M100" s="84"/>
      <c r="N100" s="84"/>
      <c r="O100" s="84"/>
      <c r="P100" s="84"/>
      <c r="Q100" s="84"/>
      <c r="R100" s="84"/>
      <c r="S100" s="84"/>
      <c r="T100" s="84"/>
      <c r="U100" s="84"/>
      <c r="V100" s="84"/>
      <c r="W100" s="84"/>
      <c r="X100" s="84"/>
      <c r="Y100" s="84"/>
      <c r="Z100" s="84"/>
    </row>
    <row r="101" ht="15.75" customHeight="1">
      <c r="A101" s="84"/>
      <c r="B101" s="84"/>
      <c r="C101" s="84"/>
      <c r="D101" s="84"/>
      <c r="E101" s="86"/>
      <c r="F101" s="84"/>
      <c r="G101" s="84"/>
      <c r="H101" s="84"/>
      <c r="I101" s="84"/>
      <c r="J101" s="84"/>
      <c r="K101" s="84"/>
      <c r="L101" s="84"/>
      <c r="M101" s="84"/>
      <c r="N101" s="84"/>
      <c r="O101" s="84"/>
      <c r="P101" s="84"/>
      <c r="Q101" s="84"/>
      <c r="R101" s="84"/>
      <c r="S101" s="84"/>
      <c r="T101" s="84"/>
      <c r="U101" s="84"/>
      <c r="V101" s="84"/>
      <c r="W101" s="84"/>
      <c r="X101" s="84"/>
      <c r="Y101" s="84"/>
      <c r="Z101" s="84"/>
    </row>
    <row r="102" ht="15.75" customHeight="1">
      <c r="A102" s="84"/>
      <c r="B102" s="84"/>
      <c r="C102" s="84"/>
      <c r="D102" s="84"/>
      <c r="E102" s="86"/>
      <c r="F102" s="84"/>
      <c r="G102" s="84"/>
      <c r="H102" s="84"/>
      <c r="I102" s="84"/>
      <c r="J102" s="84"/>
      <c r="K102" s="84"/>
      <c r="L102" s="84"/>
      <c r="M102" s="84"/>
      <c r="N102" s="84"/>
      <c r="O102" s="84"/>
      <c r="P102" s="84"/>
      <c r="Q102" s="84"/>
      <c r="R102" s="84"/>
      <c r="S102" s="84"/>
      <c r="T102" s="84"/>
      <c r="U102" s="84"/>
      <c r="V102" s="84"/>
      <c r="W102" s="84"/>
      <c r="X102" s="84"/>
      <c r="Y102" s="84"/>
      <c r="Z102" s="84"/>
    </row>
    <row r="103" ht="15.75" customHeight="1">
      <c r="A103" s="84"/>
      <c r="B103" s="84"/>
      <c r="C103" s="84"/>
      <c r="D103" s="84"/>
      <c r="E103" s="86"/>
      <c r="F103" s="84"/>
      <c r="G103" s="84"/>
      <c r="H103" s="84"/>
      <c r="I103" s="84"/>
      <c r="J103" s="84"/>
      <c r="K103" s="84"/>
      <c r="L103" s="84"/>
      <c r="M103" s="84"/>
      <c r="N103" s="84"/>
      <c r="O103" s="84"/>
      <c r="P103" s="84"/>
      <c r="Q103" s="84"/>
      <c r="R103" s="84"/>
      <c r="S103" s="84"/>
      <c r="T103" s="84"/>
      <c r="U103" s="84"/>
      <c r="V103" s="84"/>
      <c r="W103" s="84"/>
      <c r="X103" s="84"/>
      <c r="Y103" s="84"/>
      <c r="Z103" s="84"/>
    </row>
    <row r="104" ht="15.75" customHeight="1">
      <c r="A104" s="84"/>
      <c r="B104" s="84"/>
      <c r="C104" s="84"/>
      <c r="D104" s="84"/>
      <c r="E104" s="86"/>
      <c r="F104" s="84"/>
      <c r="G104" s="84"/>
      <c r="H104" s="84"/>
      <c r="I104" s="84"/>
      <c r="J104" s="84"/>
      <c r="K104" s="84"/>
      <c r="L104" s="84"/>
      <c r="M104" s="84"/>
      <c r="N104" s="84"/>
      <c r="O104" s="84"/>
      <c r="P104" s="84"/>
      <c r="Q104" s="84"/>
      <c r="R104" s="84"/>
      <c r="S104" s="84"/>
      <c r="T104" s="84"/>
      <c r="U104" s="84"/>
      <c r="V104" s="84"/>
      <c r="W104" s="84"/>
      <c r="X104" s="84"/>
      <c r="Y104" s="84"/>
      <c r="Z104" s="84"/>
    </row>
    <row r="105" ht="15.75" customHeight="1">
      <c r="A105" s="1"/>
      <c r="B105" s="1"/>
      <c r="C105" s="1"/>
      <c r="D105" s="2"/>
      <c r="E105" s="3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2"/>
      <c r="E106" s="3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2"/>
      <c r="E107" s="3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2"/>
      <c r="E108" s="3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2"/>
      <c r="E109" s="3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2"/>
      <c r="E110" s="3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2"/>
      <c r="E111" s="3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2"/>
      <c r="E112" s="3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2"/>
      <c r="E113" s="3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2"/>
      <c r="E114" s="3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2"/>
      <c r="E115" s="3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2"/>
      <c r="E116" s="3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2"/>
      <c r="E117" s="3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2"/>
      <c r="E118" s="3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2"/>
      <c r="E119" s="3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2"/>
      <c r="E120" s="3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2"/>
      <c r="E121" s="3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2"/>
      <c r="E122" s="3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2"/>
      <c r="E123" s="3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2"/>
      <c r="E124" s="3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2"/>
      <c r="E125" s="3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2"/>
      <c r="E126" s="3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2"/>
      <c r="E127" s="3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2"/>
      <c r="E128" s="3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2"/>
      <c r="E129" s="3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2"/>
      <c r="E130" s="3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2"/>
      <c r="E131" s="3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2"/>
      <c r="E132" s="3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2"/>
      <c r="E133" s="3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2"/>
      <c r="E134" s="3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2"/>
      <c r="E135" s="3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2"/>
      <c r="E136" s="3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2"/>
      <c r="E137" s="3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2"/>
      <c r="E138" s="3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2"/>
      <c r="E139" s="3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2"/>
      <c r="E140" s="3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2"/>
      <c r="E141" s="3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2"/>
      <c r="E142" s="3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2"/>
      <c r="E143" s="3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2"/>
      <c r="E144" s="3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2"/>
      <c r="E145" s="3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2"/>
      <c r="E146" s="3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2"/>
      <c r="E147" s="3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2"/>
      <c r="E148" s="3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2"/>
      <c r="E149" s="3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2"/>
      <c r="E150" s="3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2"/>
      <c r="E151" s="3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2"/>
      <c r="E152" s="3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2"/>
      <c r="E153" s="3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2"/>
      <c r="E154" s="3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2"/>
      <c r="E155" s="3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2"/>
      <c r="E156" s="3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2"/>
      <c r="E157" s="3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2"/>
      <c r="E158" s="3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2"/>
      <c r="E159" s="3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2"/>
      <c r="E160" s="3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2"/>
      <c r="E161" s="3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2"/>
      <c r="E162" s="3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2"/>
      <c r="E163" s="3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2"/>
      <c r="E164" s="3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2"/>
      <c r="E165" s="3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2"/>
      <c r="E166" s="3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2"/>
      <c r="E167" s="3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2"/>
      <c r="E168" s="3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2"/>
      <c r="E169" s="3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2"/>
      <c r="E170" s="3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2"/>
      <c r="E171" s="3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2"/>
      <c r="E172" s="3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2"/>
      <c r="E173" s="3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2"/>
      <c r="E174" s="3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2"/>
      <c r="E175" s="3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2"/>
      <c r="E176" s="3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2"/>
      <c r="E177" s="3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2"/>
      <c r="E178" s="3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2"/>
      <c r="E179" s="3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2"/>
      <c r="E180" s="3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2"/>
      <c r="E181" s="3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2"/>
      <c r="E182" s="3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2"/>
      <c r="E183" s="3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2"/>
      <c r="E184" s="3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2"/>
      <c r="E185" s="3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2"/>
      <c r="E186" s="3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2"/>
      <c r="E187" s="3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2"/>
      <c r="E188" s="3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2"/>
      <c r="E189" s="3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2"/>
      <c r="E190" s="3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2"/>
      <c r="E191" s="3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2"/>
      <c r="E192" s="3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2"/>
      <c r="E193" s="3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2"/>
      <c r="E194" s="3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2"/>
      <c r="E195" s="3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2"/>
      <c r="E196" s="3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2"/>
      <c r="E197" s="3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2"/>
      <c r="E198" s="3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2"/>
      <c r="E199" s="3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2"/>
      <c r="E200" s="3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2"/>
      <c r="E201" s="3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2"/>
      <c r="E202" s="3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2"/>
      <c r="E203" s="3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2"/>
      <c r="E204" s="3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2"/>
      <c r="E205" s="3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2"/>
      <c r="E206" s="3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2"/>
      <c r="E207" s="3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2"/>
      <c r="E208" s="3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2"/>
      <c r="E209" s="3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2"/>
      <c r="E210" s="3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2"/>
      <c r="E211" s="3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2"/>
      <c r="E212" s="3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2"/>
      <c r="E213" s="3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2"/>
      <c r="E214" s="3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2"/>
      <c r="E215" s="3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2"/>
      <c r="E216" s="3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2"/>
      <c r="E217" s="3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2"/>
      <c r="E218" s="3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2"/>
      <c r="E219" s="3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2"/>
      <c r="E220" s="3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2"/>
      <c r="E221" s="3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2"/>
      <c r="E222" s="3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2"/>
      <c r="E223" s="3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2"/>
      <c r="E224" s="3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2"/>
      <c r="E225" s="3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2"/>
      <c r="E226" s="3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2"/>
      <c r="E227" s="3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2"/>
      <c r="E228" s="3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2"/>
      <c r="E229" s="3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2"/>
      <c r="E230" s="3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2"/>
      <c r="E231" s="3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2"/>
      <c r="E232" s="3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2"/>
      <c r="E233" s="3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2"/>
      <c r="E234" s="3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2"/>
      <c r="E235" s="3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2"/>
      <c r="E236" s="3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2"/>
      <c r="E237" s="3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2"/>
      <c r="E238" s="3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2"/>
      <c r="E239" s="3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2"/>
      <c r="E240" s="3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2"/>
      <c r="E241" s="3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2"/>
      <c r="E242" s="3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2"/>
      <c r="E243" s="3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2"/>
      <c r="E244" s="3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2"/>
      <c r="E245" s="3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2"/>
      <c r="E246" s="3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2"/>
      <c r="E247" s="3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2"/>
      <c r="E248" s="3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2"/>
      <c r="E249" s="3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2"/>
      <c r="E250" s="3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2"/>
      <c r="E251" s="3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2"/>
      <c r="E252" s="3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2"/>
      <c r="E253" s="3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2"/>
      <c r="E254" s="3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2"/>
      <c r="E255" s="3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2"/>
      <c r="E256" s="3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2"/>
      <c r="E257" s="3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2"/>
      <c r="E258" s="3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2"/>
      <c r="E259" s="3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2"/>
      <c r="E260" s="3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2"/>
      <c r="E261" s="3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2"/>
      <c r="E262" s="3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2"/>
      <c r="E263" s="3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2"/>
      <c r="E264" s="3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2"/>
      <c r="E265" s="3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2"/>
      <c r="E266" s="3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2"/>
      <c r="E267" s="3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2"/>
      <c r="E268" s="3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2"/>
      <c r="E269" s="3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2"/>
      <c r="E270" s="3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2"/>
      <c r="E271" s="3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2"/>
      <c r="E272" s="3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2"/>
      <c r="E273" s="3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2"/>
      <c r="E274" s="3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2"/>
      <c r="E275" s="3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2"/>
      <c r="E276" s="3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2"/>
      <c r="E277" s="3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2"/>
      <c r="E278" s="3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2"/>
      <c r="E279" s="3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2"/>
      <c r="E280" s="3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2"/>
      <c r="E281" s="3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2"/>
      <c r="E282" s="3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2"/>
      <c r="E283" s="3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2"/>
      <c r="E284" s="3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2"/>
      <c r="E285" s="3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2"/>
      <c r="E286" s="3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2"/>
      <c r="E287" s="3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2"/>
      <c r="E288" s="3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0">
    <mergeCell ref="B59:F59"/>
    <mergeCell ref="B63:F63"/>
    <mergeCell ref="B68:D68"/>
    <mergeCell ref="B2:G2"/>
    <mergeCell ref="C11:F11"/>
    <mergeCell ref="C25:E25"/>
    <mergeCell ref="C28:E28"/>
    <mergeCell ref="B45:F45"/>
    <mergeCell ref="B46:F46"/>
    <mergeCell ref="B58:F58"/>
  </mergeCells>
  <dataValidations>
    <dataValidation type="decimal" allowBlank="1" showInputMessage="1" showErrorMessage="1" prompt="Entre 1 y 9 personas." sqref="B85">
      <formula1>1.0</formula1>
      <formula2>9.0</formula2>
    </dataValidation>
  </dataValidations>
  <hyperlinks>
    <hyperlink r:id="rId2" location="v=onepage&amp;q=e7%20part-time%20members&amp;f=false" ref="H32"/>
    <hyperlink r:id="rId3" location="v=onepage&amp;q=e7%20part-time%20members&amp;f=false" ref="H50"/>
  </hyperlinks>
  <printOptions/>
  <pageMargins bottom="1.0" footer="0.0" header="0.0" left="0.75" right="0.75" top="1.0"/>
  <pageSetup orientation="portrait"/>
  <drawing r:id="rId4"/>
  <legacy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7.75"/>
    <col customWidth="1" min="2" max="2" width="32.13"/>
    <col customWidth="1" min="3" max="3" width="33.38"/>
    <col customWidth="1" min="4" max="4" width="38.63"/>
    <col customWidth="1" min="5" max="5" width="13.63"/>
    <col customWidth="1" min="6" max="6" width="16.13"/>
    <col customWidth="1" min="7" max="7" width="16.75"/>
    <col customWidth="1" min="8" max="8" width="34.38"/>
    <col customWidth="1" min="9" max="9" width="10.63"/>
    <col customWidth="1" min="10" max="10" width="13.75"/>
    <col customWidth="1" min="11" max="26" width="9.13"/>
  </cols>
  <sheetData>
    <row r="1" ht="27.75" customHeight="1">
      <c r="A1" s="1"/>
      <c r="B1" s="1"/>
      <c r="C1" s="1"/>
      <c r="D1" s="2"/>
      <c r="E1" s="3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7.75" customHeight="1">
      <c r="A2" s="4"/>
      <c r="B2" s="5" t="s">
        <v>0</v>
      </c>
      <c r="C2" s="6"/>
      <c r="D2" s="6"/>
      <c r="E2" s="6"/>
      <c r="F2" s="6"/>
      <c r="G2" s="7"/>
      <c r="H2" s="8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7.75" customHeight="1">
      <c r="A3" s="4"/>
      <c r="B3" s="95" t="s">
        <v>1</v>
      </c>
      <c r="C3" s="4" t="s">
        <v>160</v>
      </c>
      <c r="D3" s="13"/>
      <c r="E3" s="13"/>
      <c r="F3" s="13"/>
      <c r="G3" s="96"/>
      <c r="H3" s="13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7.75" customHeight="1">
      <c r="A4" s="4"/>
      <c r="B4" s="97" t="s">
        <v>3</v>
      </c>
      <c r="C4" s="98" t="s">
        <v>161</v>
      </c>
      <c r="D4" s="99"/>
      <c r="E4" s="99"/>
      <c r="F4" s="99"/>
      <c r="G4" s="100"/>
      <c r="H4" s="13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7.75" customHeight="1">
      <c r="A5" s="1"/>
      <c r="B5" s="18"/>
      <c r="C5" s="1"/>
      <c r="D5" s="19"/>
      <c r="E5" s="19"/>
      <c r="F5" s="19"/>
      <c r="G5" s="19"/>
      <c r="H5" s="19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7.75" customHeight="1">
      <c r="A6" s="1"/>
      <c r="B6" s="1"/>
      <c r="C6" s="1"/>
      <c r="D6" s="2"/>
      <c r="E6" s="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75" customHeight="1">
      <c r="A7" s="20" t="s">
        <v>5</v>
      </c>
      <c r="B7" s="21" t="s">
        <v>6</v>
      </c>
      <c r="C7" s="22" t="s">
        <v>7</v>
      </c>
      <c r="D7" s="22" t="s">
        <v>8</v>
      </c>
      <c r="E7" s="21" t="s">
        <v>9</v>
      </c>
      <c r="F7" s="21" t="s">
        <v>10</v>
      </c>
      <c r="G7" s="21" t="s">
        <v>11</v>
      </c>
      <c r="H7" s="19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</row>
    <row r="8" ht="27.75" customHeight="1">
      <c r="A8" s="1"/>
      <c r="B8" s="23" t="s">
        <v>12</v>
      </c>
      <c r="C8" s="24" t="s">
        <v>13</v>
      </c>
      <c r="D8" s="24" t="s">
        <v>14</v>
      </c>
      <c r="E8" s="25">
        <v>3.0</v>
      </c>
      <c r="F8" s="26">
        <v>1.0</v>
      </c>
      <c r="G8" s="25">
        <v>1.0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27.75" customHeight="1">
      <c r="A9" s="1"/>
      <c r="B9" s="27" t="s">
        <v>15</v>
      </c>
      <c r="C9" s="28" t="s">
        <v>13</v>
      </c>
      <c r="D9" s="28" t="s">
        <v>16</v>
      </c>
      <c r="E9" s="29">
        <v>3.0</v>
      </c>
      <c r="F9" s="30">
        <v>1.0</v>
      </c>
      <c r="G9" s="29">
        <v>1.0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27.75" customHeight="1">
      <c r="A10" s="1"/>
      <c r="B10" s="27" t="s">
        <v>17</v>
      </c>
      <c r="C10" s="28" t="s">
        <v>13</v>
      </c>
      <c r="D10" s="28" t="s">
        <v>18</v>
      </c>
      <c r="E10" s="29">
        <v>3.0</v>
      </c>
      <c r="F10" s="30">
        <v>1.0</v>
      </c>
      <c r="G10" s="29">
        <v>1.0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27.75" customHeight="1">
      <c r="A11" s="1"/>
      <c r="B11" s="27"/>
      <c r="C11" s="28"/>
      <c r="D11" s="28"/>
      <c r="E11" s="29"/>
      <c r="F11" s="30"/>
      <c r="G11" s="29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27.75" customHeight="1">
      <c r="A12" s="1"/>
      <c r="B12" s="31"/>
      <c r="C12" s="32" t="s">
        <v>19</v>
      </c>
      <c r="D12" s="6"/>
      <c r="E12" s="6"/>
      <c r="F12" s="7"/>
      <c r="G12" s="33">
        <f>SUM(G8:G11)</f>
        <v>3</v>
      </c>
      <c r="H12" s="20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27.75" customHeight="1">
      <c r="A13" s="1"/>
      <c r="B13" s="20"/>
      <c r="C13" s="34"/>
      <c r="D13" s="3"/>
      <c r="E13" s="3"/>
      <c r="F13" s="3"/>
      <c r="G13" s="35"/>
      <c r="H13" s="20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27.75" customHeight="1">
      <c r="A14" s="1"/>
      <c r="B14" s="20"/>
      <c r="C14" s="36"/>
      <c r="D14" s="36"/>
      <c r="E14" s="37"/>
      <c r="F14" s="20"/>
      <c r="G14" s="20"/>
      <c r="H14" s="20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27.75" customHeight="1">
      <c r="A15" s="20" t="s">
        <v>20</v>
      </c>
      <c r="B15" s="21" t="s">
        <v>21</v>
      </c>
      <c r="C15" s="21" t="s">
        <v>22</v>
      </c>
      <c r="D15" s="22" t="s">
        <v>23</v>
      </c>
      <c r="E15" s="22" t="s">
        <v>24</v>
      </c>
      <c r="F15" s="21" t="s">
        <v>9</v>
      </c>
      <c r="G15" s="19"/>
      <c r="H15" s="19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38"/>
      <c r="U15" s="1"/>
      <c r="V15" s="1"/>
      <c r="W15" s="1"/>
      <c r="X15" s="1"/>
      <c r="Y15" s="1"/>
      <c r="Z15" s="1"/>
    </row>
    <row r="16" ht="27.75" customHeight="1">
      <c r="A16" s="1"/>
      <c r="B16" s="39" t="s">
        <v>25</v>
      </c>
      <c r="C16" s="40"/>
      <c r="D16" s="41">
        <v>3.0</v>
      </c>
      <c r="E16" s="42" t="s">
        <v>26</v>
      </c>
      <c r="F16" s="42">
        <v>5.0</v>
      </c>
      <c r="G16" s="1"/>
      <c r="H16" s="1"/>
      <c r="I16" s="1"/>
      <c r="J16" s="1"/>
      <c r="K16" s="38"/>
      <c r="L16" s="1"/>
      <c r="M16" s="1"/>
      <c r="N16" s="1"/>
      <c r="O16" s="1"/>
      <c r="P16" s="1"/>
      <c r="Q16" s="1"/>
      <c r="R16" s="1"/>
      <c r="S16" s="1"/>
      <c r="T16" s="38"/>
      <c r="U16" s="1"/>
      <c r="V16" s="1"/>
      <c r="W16" s="1"/>
      <c r="X16" s="1"/>
      <c r="Y16" s="1"/>
      <c r="Z16" s="1"/>
    </row>
    <row r="17" ht="27.75" customHeight="1">
      <c r="A17" s="1"/>
      <c r="B17" s="43" t="s">
        <v>27</v>
      </c>
      <c r="C17" s="44"/>
      <c r="D17" s="45">
        <v>6.0</v>
      </c>
      <c r="E17" s="46" t="s">
        <v>28</v>
      </c>
      <c r="F17" s="46">
        <v>10.0</v>
      </c>
      <c r="G17" s="1"/>
      <c r="H17" s="1"/>
      <c r="I17" s="1"/>
      <c r="J17" s="1"/>
      <c r="K17" s="38"/>
      <c r="L17" s="1"/>
      <c r="M17" s="1"/>
      <c r="N17" s="1"/>
      <c r="O17" s="1"/>
      <c r="P17" s="1"/>
      <c r="Q17" s="1"/>
      <c r="R17" s="1"/>
      <c r="S17" s="1"/>
      <c r="T17" s="38"/>
      <c r="U17" s="1"/>
      <c r="V17" s="1"/>
      <c r="W17" s="1"/>
      <c r="X17" s="1"/>
      <c r="Y17" s="1"/>
      <c r="Z17" s="1"/>
    </row>
    <row r="18" ht="27.75" customHeight="1">
      <c r="A18" s="1"/>
      <c r="B18" s="43" t="s">
        <v>29</v>
      </c>
      <c r="C18" s="44"/>
      <c r="D18" s="45">
        <v>8.0</v>
      </c>
      <c r="E18" s="46" t="s">
        <v>13</v>
      </c>
      <c r="F18" s="46">
        <v>15.0</v>
      </c>
      <c r="G18" s="1"/>
      <c r="H18" s="1"/>
      <c r="I18" s="1"/>
      <c r="J18" s="1"/>
      <c r="K18" s="38"/>
      <c r="L18" s="1"/>
      <c r="M18" s="1"/>
      <c r="N18" s="1"/>
      <c r="O18" s="1"/>
      <c r="P18" s="1"/>
      <c r="Q18" s="1"/>
      <c r="R18" s="1"/>
      <c r="S18" s="1"/>
      <c r="T18" s="38"/>
      <c r="U18" s="1"/>
      <c r="V18" s="1"/>
      <c r="W18" s="1"/>
      <c r="X18" s="1"/>
      <c r="Y18" s="1"/>
      <c r="Z18" s="1"/>
    </row>
    <row r="19" ht="27.75" customHeight="1">
      <c r="A19" s="1"/>
      <c r="B19" s="43" t="s">
        <v>30</v>
      </c>
      <c r="C19" s="44"/>
      <c r="D19" s="45">
        <v>3.0</v>
      </c>
      <c r="E19" s="46" t="s">
        <v>26</v>
      </c>
      <c r="F19" s="46">
        <v>5.0</v>
      </c>
      <c r="G19" s="1"/>
      <c r="H19" s="1"/>
      <c r="I19" s="1"/>
      <c r="J19" s="1"/>
      <c r="K19" s="38"/>
      <c r="L19" s="1"/>
      <c r="M19" s="1"/>
      <c r="N19" s="1"/>
      <c r="O19" s="1"/>
      <c r="P19" s="1"/>
      <c r="Q19" s="1"/>
      <c r="R19" s="1"/>
      <c r="S19" s="1"/>
      <c r="T19" s="38"/>
      <c r="U19" s="1"/>
      <c r="V19" s="1"/>
      <c r="W19" s="1"/>
      <c r="X19" s="1"/>
      <c r="Y19" s="1"/>
      <c r="Z19" s="1"/>
    </row>
    <row r="20" ht="27.75" customHeight="1">
      <c r="A20" s="1"/>
      <c r="B20" s="43" t="s">
        <v>31</v>
      </c>
      <c r="C20" s="44"/>
      <c r="D20" s="47">
        <v>7.0</v>
      </c>
      <c r="E20" s="46" t="s">
        <v>13</v>
      </c>
      <c r="F20" s="46">
        <v>15.0</v>
      </c>
      <c r="G20" s="1"/>
      <c r="H20" s="1"/>
      <c r="I20" s="1"/>
      <c r="J20" s="1"/>
      <c r="K20" s="38"/>
      <c r="L20" s="1"/>
      <c r="M20" s="1"/>
      <c r="N20" s="1"/>
      <c r="O20" s="1"/>
      <c r="P20" s="1"/>
      <c r="Q20" s="1"/>
      <c r="R20" s="1"/>
      <c r="S20" s="1"/>
      <c r="T20" s="38"/>
      <c r="U20" s="1"/>
      <c r="V20" s="1"/>
      <c r="W20" s="1"/>
      <c r="X20" s="1"/>
      <c r="Y20" s="1"/>
      <c r="Z20" s="1"/>
    </row>
    <row r="21" ht="27.75" customHeight="1">
      <c r="A21" s="1"/>
      <c r="B21" s="43" t="s">
        <v>32</v>
      </c>
      <c r="C21" s="44"/>
      <c r="D21" s="45">
        <v>4.0</v>
      </c>
      <c r="E21" s="46" t="s">
        <v>28</v>
      </c>
      <c r="F21" s="46">
        <v>10.0</v>
      </c>
      <c r="G21" s="1"/>
      <c r="H21" s="1"/>
      <c r="I21" s="1"/>
      <c r="J21" s="1"/>
      <c r="K21" s="38"/>
      <c r="L21" s="1"/>
      <c r="M21" s="1"/>
      <c r="N21" s="1"/>
      <c r="O21" s="1"/>
      <c r="P21" s="1"/>
      <c r="Q21" s="1"/>
      <c r="R21" s="1"/>
      <c r="S21" s="1"/>
      <c r="T21" s="38"/>
      <c r="U21" s="1"/>
      <c r="V21" s="1"/>
      <c r="W21" s="1"/>
      <c r="X21" s="1"/>
      <c r="Y21" s="1"/>
      <c r="Z21" s="1"/>
    </row>
    <row r="22" ht="27.75" customHeight="1">
      <c r="A22" s="1"/>
      <c r="B22" s="43" t="s">
        <v>33</v>
      </c>
      <c r="C22" s="44"/>
      <c r="D22" s="45">
        <v>3.0</v>
      </c>
      <c r="E22" s="46" t="s">
        <v>26</v>
      </c>
      <c r="F22" s="46">
        <v>5.0</v>
      </c>
      <c r="G22" s="1"/>
      <c r="H22" s="1"/>
      <c r="I22" s="1"/>
      <c r="J22" s="1"/>
      <c r="K22" s="38"/>
      <c r="L22" s="1"/>
      <c r="M22" s="1"/>
      <c r="N22" s="1"/>
      <c r="O22" s="1"/>
      <c r="P22" s="1"/>
      <c r="Q22" s="1"/>
      <c r="R22" s="1"/>
      <c r="S22" s="1"/>
      <c r="T22" s="38"/>
      <c r="U22" s="1"/>
      <c r="V22" s="1"/>
      <c r="W22" s="1"/>
      <c r="X22" s="1"/>
      <c r="Y22" s="1"/>
      <c r="Z22" s="1"/>
    </row>
    <row r="23" ht="27.75" customHeight="1">
      <c r="A23" s="1"/>
      <c r="B23" s="43" t="s">
        <v>34</v>
      </c>
      <c r="C23" s="44"/>
      <c r="D23" s="45">
        <v>3.0</v>
      </c>
      <c r="E23" s="46" t="s">
        <v>26</v>
      </c>
      <c r="F23" s="46">
        <v>5.0</v>
      </c>
      <c r="G23" s="1"/>
      <c r="H23" s="1"/>
      <c r="I23" s="1"/>
      <c r="J23" s="1"/>
      <c r="K23" s="38"/>
      <c r="L23" s="1"/>
      <c r="M23" s="1"/>
      <c r="N23" s="1"/>
      <c r="O23" s="1"/>
      <c r="P23" s="1"/>
      <c r="Q23" s="1"/>
      <c r="R23" s="1"/>
      <c r="S23" s="1"/>
      <c r="T23" s="38"/>
      <c r="U23" s="1"/>
      <c r="V23" s="1"/>
      <c r="W23" s="1"/>
      <c r="X23" s="1"/>
      <c r="Y23" s="1"/>
      <c r="Z23" s="1"/>
    </row>
    <row r="24" ht="27.75" customHeight="1">
      <c r="A24" s="1"/>
      <c r="B24" s="43" t="s">
        <v>35</v>
      </c>
      <c r="C24" s="44"/>
      <c r="D24" s="45">
        <v>4.0</v>
      </c>
      <c r="E24" s="46" t="s">
        <v>28</v>
      </c>
      <c r="F24" s="46">
        <v>10.0</v>
      </c>
      <c r="G24" s="1"/>
      <c r="H24" s="1"/>
      <c r="I24" s="1"/>
      <c r="J24" s="1"/>
      <c r="K24" s="38"/>
      <c r="L24" s="1"/>
      <c r="M24" s="1"/>
      <c r="N24" s="1"/>
      <c r="O24" s="1"/>
      <c r="P24" s="1"/>
      <c r="Q24" s="1"/>
      <c r="R24" s="1"/>
      <c r="S24" s="1"/>
      <c r="T24" s="38"/>
      <c r="U24" s="1"/>
      <c r="V24" s="1"/>
      <c r="W24" s="1"/>
      <c r="X24" s="1"/>
      <c r="Y24" s="1"/>
      <c r="Z24" s="1"/>
    </row>
    <row r="25" ht="27.75" customHeight="1">
      <c r="A25" s="1"/>
      <c r="B25" s="43" t="s">
        <v>36</v>
      </c>
      <c r="C25" s="44"/>
      <c r="D25" s="45">
        <v>3.0</v>
      </c>
      <c r="E25" s="46" t="s">
        <v>26</v>
      </c>
      <c r="F25" s="46">
        <v>5.0</v>
      </c>
      <c r="G25" s="1"/>
      <c r="H25" s="1"/>
      <c r="I25" s="1"/>
      <c r="J25" s="1"/>
      <c r="K25" s="38"/>
      <c r="L25" s="1"/>
      <c r="M25" s="1"/>
      <c r="N25" s="1"/>
      <c r="O25" s="1"/>
      <c r="P25" s="1"/>
      <c r="Q25" s="1"/>
      <c r="R25" s="1"/>
      <c r="S25" s="1"/>
      <c r="T25" s="38"/>
      <c r="U25" s="1"/>
      <c r="V25" s="1"/>
      <c r="W25" s="1"/>
      <c r="X25" s="1"/>
      <c r="Y25" s="1"/>
      <c r="Z25" s="1"/>
    </row>
    <row r="26" ht="27.75" customHeight="1">
      <c r="A26" s="1"/>
      <c r="B26" s="49"/>
      <c r="C26" s="50" t="s">
        <v>37</v>
      </c>
      <c r="D26" s="51"/>
      <c r="E26" s="52"/>
      <c r="F26" s="53">
        <f>SUM(F16:F25)</f>
        <v>85</v>
      </c>
      <c r="G26" s="1"/>
      <c r="H26" s="20"/>
      <c r="I26" s="1"/>
      <c r="J26" s="1"/>
      <c r="K26" s="38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27.75" customHeight="1">
      <c r="A27" s="1"/>
      <c r="B27" s="1"/>
      <c r="C27" s="1"/>
      <c r="D27" s="2"/>
      <c r="E27" s="3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27.75" customHeight="1">
      <c r="A28" s="1"/>
      <c r="B28" s="1"/>
      <c r="C28" s="1"/>
      <c r="D28" s="2"/>
      <c r="E28" s="3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27.75" customHeight="1">
      <c r="A29" s="20" t="s">
        <v>38</v>
      </c>
      <c r="B29" s="54"/>
      <c r="C29" s="32" t="s">
        <v>162</v>
      </c>
      <c r="D29" s="6"/>
      <c r="E29" s="7"/>
      <c r="F29" s="33">
        <f>G12+F26</f>
        <v>88</v>
      </c>
      <c r="G29" s="1"/>
      <c r="H29" s="20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27.75" customHeight="1">
      <c r="A30" s="1"/>
      <c r="B30" s="1"/>
      <c r="C30" s="1"/>
      <c r="D30" s="2"/>
      <c r="E30" s="3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27.75" customHeight="1">
      <c r="A31" s="1"/>
      <c r="B31" s="3"/>
      <c r="C31" s="1"/>
      <c r="D31" s="2"/>
      <c r="E31" s="3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27.75" customHeight="1">
      <c r="A32" s="20" t="s">
        <v>40</v>
      </c>
      <c r="B32" s="22" t="s">
        <v>41</v>
      </c>
      <c r="C32" s="22" t="s">
        <v>42</v>
      </c>
      <c r="D32" s="21" t="s">
        <v>43</v>
      </c>
      <c r="E32" s="21" t="s">
        <v>9</v>
      </c>
      <c r="F32" s="21" t="s">
        <v>44</v>
      </c>
      <c r="G32" s="21" t="s">
        <v>45</v>
      </c>
      <c r="H32" s="1" t="s">
        <v>46</v>
      </c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</row>
    <row r="33" ht="27.75" customHeight="1">
      <c r="A33" s="1"/>
      <c r="B33" s="55" t="s">
        <v>47</v>
      </c>
      <c r="C33" s="55" t="s">
        <v>48</v>
      </c>
      <c r="D33" s="23" t="s">
        <v>49</v>
      </c>
      <c r="E33" s="56">
        <v>2.0</v>
      </c>
      <c r="F33" s="26">
        <v>0.0</v>
      </c>
      <c r="G33" s="56">
        <v>0.0</v>
      </c>
      <c r="H33" s="57" t="s">
        <v>50</v>
      </c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55" t="s">
        <v>51</v>
      </c>
      <c r="C34" s="55" t="s">
        <v>48</v>
      </c>
      <c r="D34" s="27" t="s">
        <v>52</v>
      </c>
      <c r="E34" s="58">
        <v>2.0</v>
      </c>
      <c r="F34" s="30">
        <v>5.0</v>
      </c>
      <c r="G34" s="58">
        <v>10.0</v>
      </c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27.75" customHeight="1">
      <c r="A35" s="1"/>
      <c r="B35" s="55" t="s">
        <v>53</v>
      </c>
      <c r="C35" s="55" t="s">
        <v>48</v>
      </c>
      <c r="D35" s="59"/>
      <c r="E35" s="58">
        <v>1.0</v>
      </c>
      <c r="F35" s="30">
        <v>4.0</v>
      </c>
      <c r="G35" s="58">
        <v>4.0</v>
      </c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55" t="s">
        <v>54</v>
      </c>
      <c r="C36" s="55" t="s">
        <v>48</v>
      </c>
      <c r="D36" s="27" t="s">
        <v>55</v>
      </c>
      <c r="E36" s="58">
        <v>1.0</v>
      </c>
      <c r="F36" s="30">
        <v>4.0</v>
      </c>
      <c r="G36" s="58">
        <v>4.0</v>
      </c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27.75" customHeight="1">
      <c r="A37" s="1"/>
      <c r="B37" s="55" t="s">
        <v>56</v>
      </c>
      <c r="C37" s="55" t="s">
        <v>48</v>
      </c>
      <c r="D37" s="27" t="s">
        <v>57</v>
      </c>
      <c r="E37" s="58">
        <v>1.0</v>
      </c>
      <c r="F37" s="30">
        <v>0.0</v>
      </c>
      <c r="G37" s="58">
        <v>0.0</v>
      </c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27.75" customHeight="1">
      <c r="A38" s="1"/>
      <c r="B38" s="55" t="s">
        <v>58</v>
      </c>
      <c r="C38" s="55" t="s">
        <v>48</v>
      </c>
      <c r="D38" s="27" t="s">
        <v>59</v>
      </c>
      <c r="E38" s="58">
        <v>0.5</v>
      </c>
      <c r="F38" s="30">
        <v>5.0</v>
      </c>
      <c r="G38" s="58">
        <v>2.5</v>
      </c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27.75" customHeight="1">
      <c r="A39" s="1"/>
      <c r="B39" s="55" t="s">
        <v>60</v>
      </c>
      <c r="C39" s="55" t="s">
        <v>48</v>
      </c>
      <c r="D39" s="27" t="s">
        <v>61</v>
      </c>
      <c r="E39" s="58">
        <v>0.5</v>
      </c>
      <c r="F39" s="30">
        <v>5.0</v>
      </c>
      <c r="G39" s="58">
        <v>2.5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27.75" customHeight="1">
      <c r="A40" s="1"/>
      <c r="B40" s="55" t="s">
        <v>62</v>
      </c>
      <c r="C40" s="55" t="s">
        <v>48</v>
      </c>
      <c r="D40" s="27" t="s">
        <v>63</v>
      </c>
      <c r="E40" s="58">
        <v>2.0</v>
      </c>
      <c r="F40" s="30">
        <v>3.0</v>
      </c>
      <c r="G40" s="58">
        <v>6.0</v>
      </c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27.75" customHeight="1">
      <c r="A41" s="1"/>
      <c r="B41" s="55" t="s">
        <v>64</v>
      </c>
      <c r="C41" s="55" t="s">
        <v>48</v>
      </c>
      <c r="D41" s="27" t="s">
        <v>65</v>
      </c>
      <c r="E41" s="58">
        <v>1.0</v>
      </c>
      <c r="F41" s="30">
        <v>1.0</v>
      </c>
      <c r="G41" s="58">
        <v>1.0</v>
      </c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27.75" customHeight="1">
      <c r="A42" s="1"/>
      <c r="B42" s="55" t="s">
        <v>66</v>
      </c>
      <c r="C42" s="55" t="s">
        <v>48</v>
      </c>
      <c r="D42" s="27" t="s">
        <v>67</v>
      </c>
      <c r="E42" s="58">
        <v>1.0</v>
      </c>
      <c r="F42" s="30">
        <v>5.0</v>
      </c>
      <c r="G42" s="58">
        <v>5.0</v>
      </c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55" t="s">
        <v>68</v>
      </c>
      <c r="C43" s="55" t="s">
        <v>48</v>
      </c>
      <c r="D43" s="27" t="s">
        <v>69</v>
      </c>
      <c r="E43" s="58">
        <v>1.0</v>
      </c>
      <c r="F43" s="30">
        <v>5.0</v>
      </c>
      <c r="G43" s="58">
        <v>5.0</v>
      </c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55" t="s">
        <v>70</v>
      </c>
      <c r="C44" s="55" t="s">
        <v>48</v>
      </c>
      <c r="D44" s="27" t="s">
        <v>71</v>
      </c>
      <c r="E44" s="58">
        <v>1.0</v>
      </c>
      <c r="F44" s="30">
        <v>4.0</v>
      </c>
      <c r="G44" s="58">
        <v>4.0</v>
      </c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55" t="s">
        <v>72</v>
      </c>
      <c r="C45" s="55" t="s">
        <v>48</v>
      </c>
      <c r="D45" s="27" t="s">
        <v>73</v>
      </c>
      <c r="E45" s="58">
        <v>1.0</v>
      </c>
      <c r="F45" s="30">
        <v>3.0</v>
      </c>
      <c r="G45" s="58">
        <v>3.0</v>
      </c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27.75" customHeight="1">
      <c r="A46" s="1"/>
      <c r="B46" s="32" t="s">
        <v>163</v>
      </c>
      <c r="C46" s="6"/>
      <c r="D46" s="6"/>
      <c r="E46" s="6"/>
      <c r="F46" s="7"/>
      <c r="G46" s="60">
        <f>SUM(G33:G45)</f>
        <v>47</v>
      </c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27.75" customHeight="1">
      <c r="A47" s="1"/>
      <c r="B47" s="32" t="s">
        <v>164</v>
      </c>
      <c r="C47" s="6"/>
      <c r="D47" s="6"/>
      <c r="E47" s="6"/>
      <c r="F47" s="7"/>
      <c r="G47" s="53">
        <f>0.6+(0.01*G46)</f>
        <v>1.07</v>
      </c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27.75" customHeight="1">
      <c r="A48" s="1"/>
      <c r="B48" s="34"/>
      <c r="C48" s="3"/>
      <c r="D48" s="3"/>
      <c r="E48" s="3"/>
      <c r="F48" s="3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27.75" customHeight="1">
      <c r="A49" s="1"/>
      <c r="B49" s="61"/>
      <c r="C49" s="61"/>
      <c r="D49" s="62"/>
      <c r="E49" s="61"/>
      <c r="F49" s="61"/>
      <c r="G49" s="6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20" t="s">
        <v>76</v>
      </c>
      <c r="B50" s="22" t="s">
        <v>77</v>
      </c>
      <c r="C50" s="22" t="s">
        <v>78</v>
      </c>
      <c r="D50" s="21" t="s">
        <v>79</v>
      </c>
      <c r="E50" s="21" t="s">
        <v>9</v>
      </c>
      <c r="F50" s="21" t="s">
        <v>44</v>
      </c>
      <c r="G50" s="21" t="s">
        <v>45</v>
      </c>
      <c r="H50" s="1" t="s">
        <v>80</v>
      </c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</row>
    <row r="51" ht="15.75" customHeight="1">
      <c r="A51" s="1"/>
      <c r="B51" s="63" t="s">
        <v>81</v>
      </c>
      <c r="C51" s="55" t="s">
        <v>82</v>
      </c>
      <c r="D51" s="23" t="s">
        <v>165</v>
      </c>
      <c r="E51" s="56" t="s">
        <v>84</v>
      </c>
      <c r="F51" s="26">
        <v>2.0</v>
      </c>
      <c r="G51" s="56">
        <v>3.0</v>
      </c>
      <c r="H51" s="57" t="s">
        <v>50</v>
      </c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63" t="s">
        <v>86</v>
      </c>
      <c r="C52" s="55" t="s">
        <v>82</v>
      </c>
      <c r="D52" s="27" t="s">
        <v>165</v>
      </c>
      <c r="E52" s="58" t="s">
        <v>88</v>
      </c>
      <c r="F52" s="30">
        <v>2.0</v>
      </c>
      <c r="G52" s="58">
        <v>1.0</v>
      </c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63" t="s">
        <v>89</v>
      </c>
      <c r="C53" s="55" t="s">
        <v>82</v>
      </c>
      <c r="D53" s="27" t="s">
        <v>165</v>
      </c>
      <c r="E53" s="58">
        <v>1.0</v>
      </c>
      <c r="F53" s="30">
        <v>2.0</v>
      </c>
      <c r="G53" s="58">
        <v>2.0</v>
      </c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63" t="s">
        <v>91</v>
      </c>
      <c r="C54" s="55" t="s">
        <v>82</v>
      </c>
      <c r="D54" s="27" t="s">
        <v>166</v>
      </c>
      <c r="E54" s="58" t="s">
        <v>88</v>
      </c>
      <c r="F54" s="30">
        <v>3.0</v>
      </c>
      <c r="G54" s="58" t="s">
        <v>84</v>
      </c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27.75" customHeight="1">
      <c r="A55" s="1"/>
      <c r="B55" s="63" t="s">
        <v>93</v>
      </c>
      <c r="C55" s="55" t="s">
        <v>94</v>
      </c>
      <c r="D55" s="27" t="s">
        <v>167</v>
      </c>
      <c r="E55" s="58">
        <v>1.0</v>
      </c>
      <c r="F55" s="30">
        <v>0.0</v>
      </c>
      <c r="G55" s="58">
        <v>0.0</v>
      </c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63" t="s">
        <v>96</v>
      </c>
      <c r="C56" s="55" t="s">
        <v>97</v>
      </c>
      <c r="D56" s="27" t="s">
        <v>168</v>
      </c>
      <c r="E56" s="58">
        <v>2.0</v>
      </c>
      <c r="F56" s="30">
        <v>3.0</v>
      </c>
      <c r="G56" s="58">
        <v>6.0</v>
      </c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63" t="s">
        <v>99</v>
      </c>
      <c r="C57" s="55" t="s">
        <v>100</v>
      </c>
      <c r="D57" s="27" t="s">
        <v>169</v>
      </c>
      <c r="E57" s="58">
        <v>-1.0</v>
      </c>
      <c r="F57" s="30">
        <v>3.0</v>
      </c>
      <c r="G57" s="58">
        <v>-3.0</v>
      </c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63" t="s">
        <v>102</v>
      </c>
      <c r="C58" s="55" t="s">
        <v>103</v>
      </c>
      <c r="D58" s="27" t="s">
        <v>170</v>
      </c>
      <c r="E58" s="58">
        <v>-1.0</v>
      </c>
      <c r="F58" s="30">
        <v>5.0</v>
      </c>
      <c r="G58" s="58">
        <v>-5.0</v>
      </c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27.75" customHeight="1">
      <c r="A59" s="1"/>
      <c r="B59" s="32" t="s">
        <v>105</v>
      </c>
      <c r="C59" s="6"/>
      <c r="D59" s="6"/>
      <c r="E59" s="6"/>
      <c r="F59" s="7"/>
      <c r="G59" s="21">
        <f>SUM(G51:G58)</f>
        <v>4</v>
      </c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27.75" customHeight="1">
      <c r="A60" s="1"/>
      <c r="B60" s="32" t="s">
        <v>171</v>
      </c>
      <c r="C60" s="6"/>
      <c r="D60" s="6"/>
      <c r="E60" s="6"/>
      <c r="F60" s="7"/>
      <c r="G60" s="21">
        <f>1.4 + (-0.03*G59)</f>
        <v>1.28</v>
      </c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27.75" customHeight="1">
      <c r="A61" s="1"/>
      <c r="B61" s="32"/>
      <c r="C61" s="64"/>
      <c r="D61" s="65"/>
      <c r="E61" s="64"/>
      <c r="F61" s="66" t="s">
        <v>107</v>
      </c>
      <c r="G61" s="21">
        <f>COUNTIF($F$51:$F$56,"&lt;3")+COUNTIF($F$57:$F$58,"&gt;3")</f>
        <v>5</v>
      </c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27.75" customHeight="1">
      <c r="A62" s="1"/>
      <c r="B62" s="34"/>
      <c r="C62" s="3"/>
      <c r="D62" s="3"/>
      <c r="E62" s="3"/>
      <c r="F62" s="3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27.75" customHeight="1">
      <c r="A63" s="1"/>
      <c r="B63" s="1"/>
      <c r="C63" s="1"/>
      <c r="D63" s="2"/>
      <c r="E63" s="3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27.75" customHeight="1">
      <c r="A64" s="20" t="s">
        <v>108</v>
      </c>
      <c r="B64" s="67" t="s">
        <v>172</v>
      </c>
      <c r="C64" s="6"/>
      <c r="D64" s="6"/>
      <c r="E64" s="6"/>
      <c r="F64" s="7"/>
      <c r="G64" s="68">
        <f>F29*G47*G60</f>
        <v>120.5248</v>
      </c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27.75" customHeight="1">
      <c r="A65" s="1"/>
      <c r="B65" s="1"/>
      <c r="C65" s="1"/>
      <c r="D65" s="2"/>
      <c r="E65" s="3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27.75" customHeight="1">
      <c r="A66" s="1"/>
      <c r="B66" s="1"/>
      <c r="C66" s="1"/>
      <c r="D66" s="2"/>
      <c r="E66" s="3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69" t="s">
        <v>110</v>
      </c>
      <c r="B67" s="22" t="s">
        <v>111</v>
      </c>
      <c r="C67" s="22" t="s">
        <v>112</v>
      </c>
      <c r="D67" s="22" t="s">
        <v>113</v>
      </c>
      <c r="E67" s="3"/>
      <c r="F67" s="1"/>
      <c r="G67" s="22" t="s">
        <v>114</v>
      </c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27.75" customHeight="1">
      <c r="A68" s="1"/>
      <c r="B68" s="70">
        <v>20.0</v>
      </c>
      <c r="C68" s="70">
        <f>IF($G$61&gt;=5,36,IF(AND(G$61&gt;2,$G$61&lt;=4),28, IF(AND($G$61&gt;=0,$G$61&lt;=2),20,"error")))</f>
        <v>36</v>
      </c>
      <c r="D68" s="71">
        <f>IF($G$61&gt;=5,$G$68*(36/20),IF(AND($G$61&gt;2,$G$61&lt;=4),$G$68*(28/20), IF(AND($G$61&gt;=0,$G$61&lt;=2),$G$68,"error")))</f>
        <v>4.5</v>
      </c>
      <c r="E68" s="3"/>
      <c r="F68" s="1"/>
      <c r="G68" s="72">
        <v>2.5</v>
      </c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27.75" customHeight="1">
      <c r="A69" s="1"/>
      <c r="B69" s="73" t="s">
        <v>115</v>
      </c>
      <c r="C69" s="6"/>
      <c r="D69" s="7"/>
      <c r="E69" s="3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27.75" customHeight="1">
      <c r="A70" s="74" t="s">
        <v>116</v>
      </c>
      <c r="B70" s="70">
        <f t="shared" ref="B70:D70" si="1">$G$64*B68</f>
        <v>2410.496</v>
      </c>
      <c r="C70" s="70">
        <f t="shared" si="1"/>
        <v>4338.8928</v>
      </c>
      <c r="D70" s="70">
        <f t="shared" si="1"/>
        <v>542.3616</v>
      </c>
      <c r="E70" s="3"/>
      <c r="F70" s="1"/>
      <c r="G70" s="22" t="s">
        <v>117</v>
      </c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27.75" customHeight="1">
      <c r="A71" s="74" t="s">
        <v>118</v>
      </c>
      <c r="B71" s="75">
        <f>B70/(22*G71)</f>
        <v>54.784</v>
      </c>
      <c r="C71" s="75">
        <f>C70/(22*G71)</f>
        <v>98.6112</v>
      </c>
      <c r="D71" s="76">
        <f>D70/(22*G71)</f>
        <v>12.3264</v>
      </c>
      <c r="E71" s="3"/>
      <c r="F71" s="1"/>
      <c r="G71" s="72">
        <v>2.0</v>
      </c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27.75" customHeight="1">
      <c r="A72" s="1"/>
      <c r="B72" s="1"/>
      <c r="C72" s="1"/>
      <c r="D72" s="2"/>
      <c r="E72" s="3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27.75" customHeight="1">
      <c r="A73" s="1"/>
      <c r="B73" s="1"/>
      <c r="C73" s="1"/>
      <c r="D73" s="2"/>
      <c r="E73" s="3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27.75" customHeight="1">
      <c r="A74" s="20" t="s">
        <v>119</v>
      </c>
      <c r="B74" s="77" t="s">
        <v>120</v>
      </c>
      <c r="C74" s="78"/>
      <c r="D74" s="65"/>
      <c r="E74" s="64"/>
      <c r="F74" s="79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27.75" customHeight="1">
      <c r="A75" s="1"/>
      <c r="B75" s="54" t="s">
        <v>121</v>
      </c>
      <c r="C75" s="21" t="s">
        <v>122</v>
      </c>
      <c r="D75" s="68" t="s">
        <v>123</v>
      </c>
      <c r="E75" s="68" t="s">
        <v>124</v>
      </c>
      <c r="F75" s="68" t="s">
        <v>125</v>
      </c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27.75" customHeight="1">
      <c r="A76" s="1"/>
      <c r="B76" s="80" t="s">
        <v>126</v>
      </c>
      <c r="C76" s="81">
        <v>0.4</v>
      </c>
      <c r="D76" s="75">
        <f t="shared" ref="D76:F76" si="2">+B70</f>
        <v>2410.496</v>
      </c>
      <c r="E76" s="75">
        <f t="shared" si="2"/>
        <v>4338.8928</v>
      </c>
      <c r="F76" s="75">
        <f t="shared" si="2"/>
        <v>542.3616</v>
      </c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27.75" customHeight="1">
      <c r="A77" s="1"/>
      <c r="B77" s="80" t="s">
        <v>127</v>
      </c>
      <c r="C77" s="81">
        <f>1-C76</f>
        <v>0.6</v>
      </c>
      <c r="D77" s="70">
        <f t="shared" ref="D77:F77" si="3">+D76*1.5</f>
        <v>3615.744</v>
      </c>
      <c r="E77" s="70">
        <f t="shared" si="3"/>
        <v>6508.3392</v>
      </c>
      <c r="F77" s="70">
        <f t="shared" si="3"/>
        <v>813.5424</v>
      </c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27.75" customHeight="1">
      <c r="A78" s="1"/>
      <c r="B78" s="82"/>
      <c r="C78" s="81">
        <f>SUM(C76:C77)</f>
        <v>1</v>
      </c>
      <c r="D78" s="75">
        <f t="shared" ref="D78:F78" si="4">+D76+D77</f>
        <v>6026.24</v>
      </c>
      <c r="E78" s="75">
        <f t="shared" si="4"/>
        <v>10847.232</v>
      </c>
      <c r="F78" s="75">
        <f t="shared" si="4"/>
        <v>1355.904</v>
      </c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27.75" customHeight="1">
      <c r="A79" s="1"/>
      <c r="B79" s="1"/>
      <c r="C79" s="1"/>
      <c r="D79" s="1"/>
      <c r="E79" s="3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27.75" customHeight="1">
      <c r="A80" s="20" t="s">
        <v>128</v>
      </c>
      <c r="B80" s="77" t="s">
        <v>129</v>
      </c>
      <c r="C80" s="78"/>
      <c r="D80" s="65"/>
      <c r="E80" s="64"/>
      <c r="F80" s="79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27.75" customHeight="1">
      <c r="A81" s="1"/>
      <c r="B81" s="54" t="s">
        <v>121</v>
      </c>
      <c r="C81" s="21" t="s">
        <v>122</v>
      </c>
      <c r="D81" s="68" t="s">
        <v>130</v>
      </c>
      <c r="E81" s="68" t="s">
        <v>131</v>
      </c>
      <c r="F81" s="68" t="s">
        <v>132</v>
      </c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27.75" customHeight="1">
      <c r="A82" s="1"/>
      <c r="B82" s="80" t="s">
        <v>126</v>
      </c>
      <c r="C82" s="81">
        <v>0.4</v>
      </c>
      <c r="D82" s="75">
        <f t="shared" ref="D82:F82" si="5">$C82/$C$82*B$71</f>
        <v>54.784</v>
      </c>
      <c r="E82" s="75">
        <f t="shared" si="5"/>
        <v>98.6112</v>
      </c>
      <c r="F82" s="75">
        <f t="shared" si="5"/>
        <v>12.3264</v>
      </c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27.75" customHeight="1">
      <c r="A83" s="1"/>
      <c r="B83" s="80" t="s">
        <v>127</v>
      </c>
      <c r="C83" s="81">
        <f>1-C82</f>
        <v>0.6</v>
      </c>
      <c r="D83" s="70">
        <f t="shared" ref="D83:F83" si="6">$C83/$C$82*B$71</f>
        <v>82.176</v>
      </c>
      <c r="E83" s="70">
        <f t="shared" si="6"/>
        <v>147.9168</v>
      </c>
      <c r="F83" s="70">
        <f t="shared" si="6"/>
        <v>18.4896</v>
      </c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27.75" customHeight="1">
      <c r="A84" s="1"/>
      <c r="B84" s="82"/>
      <c r="C84" s="81">
        <f>SUM(C82:C83)</f>
        <v>1</v>
      </c>
      <c r="D84" s="75">
        <f t="shared" ref="D84:F84" si="7">$C84/$C$82*B$71</f>
        <v>136.96</v>
      </c>
      <c r="E84" s="75">
        <f t="shared" si="7"/>
        <v>246.528</v>
      </c>
      <c r="F84" s="75">
        <f t="shared" si="7"/>
        <v>30.816</v>
      </c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27.75" customHeight="1">
      <c r="A85" s="1"/>
      <c r="B85" s="1"/>
      <c r="C85" s="1"/>
      <c r="D85" s="2"/>
      <c r="E85" s="3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27.75" customHeight="1">
      <c r="A86" s="20" t="s">
        <v>133</v>
      </c>
      <c r="B86" s="83">
        <v>5.0</v>
      </c>
      <c r="C86" s="1"/>
      <c r="D86" s="2"/>
      <c r="E86" s="3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27.75" customHeight="1">
      <c r="A87" s="1"/>
      <c r="B87" s="1"/>
      <c r="C87" s="1"/>
      <c r="D87" s="2"/>
      <c r="E87" s="3"/>
      <c r="F87" s="1"/>
      <c r="G87" s="1"/>
      <c r="H87" s="10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27.75" customHeight="1">
      <c r="A88" s="20" t="s">
        <v>134</v>
      </c>
      <c r="B88" s="68" t="s">
        <v>135</v>
      </c>
      <c r="C88" s="68" t="s">
        <v>136</v>
      </c>
      <c r="D88" s="68" t="s">
        <v>137</v>
      </c>
      <c r="E88" s="3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27.75" customHeight="1">
      <c r="A89" s="84"/>
      <c r="B89" s="85">
        <f>$D$84/$B$86</f>
        <v>27.392</v>
      </c>
      <c r="C89" s="85">
        <f>$E$84/$B$86</f>
        <v>49.3056</v>
      </c>
      <c r="D89" s="85">
        <f>$F$84/$B$86</f>
        <v>6.1632</v>
      </c>
      <c r="E89" s="84"/>
      <c r="F89" s="84"/>
      <c r="G89" s="84"/>
      <c r="H89" s="84"/>
      <c r="I89" s="84"/>
      <c r="J89" s="84"/>
      <c r="K89" s="84"/>
      <c r="L89" s="84"/>
      <c r="M89" s="84"/>
      <c r="N89" s="84"/>
      <c r="O89" s="84"/>
      <c r="P89" s="84"/>
      <c r="Q89" s="84"/>
      <c r="R89" s="84"/>
      <c r="S89" s="84"/>
      <c r="T89" s="84"/>
      <c r="U89" s="84"/>
      <c r="V89" s="84"/>
      <c r="W89" s="84"/>
      <c r="X89" s="84"/>
      <c r="Y89" s="84"/>
      <c r="Z89" s="84"/>
    </row>
    <row r="90" ht="15.75" customHeight="1">
      <c r="A90" s="84"/>
      <c r="B90" s="84"/>
      <c r="C90" s="84"/>
      <c r="D90" s="84"/>
      <c r="E90" s="86"/>
      <c r="F90" s="84"/>
      <c r="G90" s="84"/>
      <c r="H90" s="84"/>
      <c r="I90" s="84"/>
      <c r="J90" s="84"/>
      <c r="K90" s="84"/>
      <c r="L90" s="84"/>
      <c r="M90" s="84"/>
      <c r="N90" s="84"/>
      <c r="O90" s="84"/>
      <c r="P90" s="84"/>
      <c r="Q90" s="84"/>
      <c r="R90" s="84"/>
      <c r="S90" s="84"/>
      <c r="T90" s="84"/>
      <c r="U90" s="84"/>
      <c r="V90" s="84"/>
      <c r="W90" s="84"/>
      <c r="X90" s="84"/>
      <c r="Y90" s="84"/>
      <c r="Z90" s="84"/>
    </row>
    <row r="91" ht="15.75" customHeight="1">
      <c r="A91" s="84"/>
      <c r="B91" s="84"/>
      <c r="C91" s="84"/>
      <c r="D91" s="84"/>
      <c r="E91" s="86"/>
      <c r="F91" s="84"/>
      <c r="G91" s="84"/>
      <c r="H91" s="84"/>
      <c r="I91" s="84"/>
      <c r="J91" s="84"/>
      <c r="K91" s="84"/>
      <c r="L91" s="84"/>
      <c r="M91" s="84"/>
      <c r="N91" s="84"/>
      <c r="O91" s="84"/>
      <c r="P91" s="84"/>
      <c r="Q91" s="84"/>
      <c r="R91" s="84"/>
      <c r="S91" s="84"/>
      <c r="T91" s="84"/>
      <c r="U91" s="84"/>
      <c r="V91" s="84"/>
      <c r="W91" s="84"/>
      <c r="X91" s="84"/>
      <c r="Y91" s="84"/>
      <c r="Z91" s="84"/>
    </row>
    <row r="92" ht="15.75" customHeight="1">
      <c r="A92" s="84"/>
      <c r="B92" s="84"/>
      <c r="C92" s="84"/>
      <c r="D92" s="84"/>
      <c r="E92" s="86"/>
      <c r="F92" s="84"/>
      <c r="G92" s="84"/>
      <c r="H92" s="84"/>
      <c r="I92" s="84"/>
      <c r="J92" s="84"/>
      <c r="K92" s="84"/>
      <c r="L92" s="84"/>
      <c r="M92" s="84"/>
      <c r="N92" s="84"/>
      <c r="O92" s="84"/>
      <c r="P92" s="84"/>
      <c r="Q92" s="84"/>
      <c r="R92" s="84"/>
      <c r="S92" s="84"/>
      <c r="T92" s="84"/>
      <c r="U92" s="84"/>
      <c r="V92" s="84"/>
      <c r="W92" s="84"/>
      <c r="X92" s="84"/>
      <c r="Y92" s="84"/>
      <c r="Z92" s="84"/>
    </row>
    <row r="93" ht="15.75" customHeight="1">
      <c r="A93" s="84"/>
      <c r="B93" s="84"/>
      <c r="C93" s="84"/>
      <c r="D93" s="84"/>
      <c r="E93" s="86"/>
      <c r="F93" s="84"/>
      <c r="G93" s="84"/>
      <c r="H93" s="84"/>
      <c r="I93" s="84"/>
      <c r="J93" s="84"/>
      <c r="K93" s="84"/>
      <c r="L93" s="84"/>
      <c r="M93" s="84"/>
      <c r="N93" s="84"/>
      <c r="O93" s="84"/>
      <c r="P93" s="84"/>
      <c r="Q93" s="84"/>
      <c r="R93" s="84"/>
      <c r="S93" s="84"/>
      <c r="T93" s="84"/>
      <c r="U93" s="84"/>
      <c r="V93" s="84"/>
      <c r="W93" s="84"/>
      <c r="X93" s="84"/>
      <c r="Y93" s="84"/>
      <c r="Z93" s="84"/>
    </row>
    <row r="94" ht="15.75" customHeight="1">
      <c r="A94" s="84"/>
      <c r="B94" s="84"/>
      <c r="C94" s="84"/>
      <c r="D94" s="84"/>
      <c r="E94" s="86"/>
      <c r="F94" s="84"/>
      <c r="G94" s="84"/>
      <c r="H94" s="84"/>
      <c r="I94" s="84"/>
      <c r="J94" s="84"/>
      <c r="K94" s="84"/>
      <c r="L94" s="84"/>
      <c r="M94" s="84"/>
      <c r="N94" s="84"/>
      <c r="O94" s="84"/>
      <c r="P94" s="84"/>
      <c r="Q94" s="84"/>
      <c r="R94" s="84"/>
      <c r="S94" s="84"/>
      <c r="T94" s="84"/>
      <c r="U94" s="84"/>
      <c r="V94" s="84"/>
      <c r="W94" s="84"/>
      <c r="X94" s="84"/>
      <c r="Y94" s="84"/>
      <c r="Z94" s="84"/>
    </row>
    <row r="95" ht="15.75" customHeight="1">
      <c r="A95" s="84"/>
      <c r="B95" s="84"/>
      <c r="C95" s="84"/>
      <c r="D95" s="84"/>
      <c r="E95" s="86"/>
      <c r="F95" s="84"/>
      <c r="G95" s="84"/>
      <c r="H95" s="84"/>
      <c r="I95" s="84"/>
      <c r="J95" s="84"/>
      <c r="K95" s="84"/>
      <c r="L95" s="84"/>
      <c r="M95" s="84"/>
      <c r="N95" s="84"/>
      <c r="O95" s="84"/>
      <c r="P95" s="84"/>
      <c r="Q95" s="84"/>
      <c r="R95" s="84"/>
      <c r="S95" s="84"/>
      <c r="T95" s="84"/>
      <c r="U95" s="84"/>
      <c r="V95" s="84"/>
      <c r="W95" s="84"/>
      <c r="X95" s="84"/>
      <c r="Y95" s="84"/>
      <c r="Z95" s="84"/>
    </row>
    <row r="96" ht="15.75" customHeight="1">
      <c r="A96" s="84"/>
      <c r="B96" s="84"/>
      <c r="C96" s="84"/>
      <c r="D96" s="84"/>
      <c r="E96" s="86"/>
      <c r="F96" s="84"/>
      <c r="G96" s="84"/>
      <c r="H96" s="84"/>
      <c r="I96" s="84"/>
      <c r="J96" s="84"/>
      <c r="K96" s="84"/>
      <c r="L96" s="84"/>
      <c r="M96" s="84"/>
      <c r="N96" s="84"/>
      <c r="O96" s="84"/>
      <c r="P96" s="84"/>
      <c r="Q96" s="84"/>
      <c r="R96" s="84"/>
      <c r="S96" s="84"/>
      <c r="T96" s="84"/>
      <c r="U96" s="84"/>
      <c r="V96" s="84"/>
      <c r="W96" s="84"/>
      <c r="X96" s="84"/>
      <c r="Y96" s="84"/>
      <c r="Z96" s="84"/>
    </row>
    <row r="97" ht="15.75" customHeight="1">
      <c r="A97" s="84"/>
      <c r="B97" s="84"/>
      <c r="C97" s="84"/>
      <c r="D97" s="84"/>
      <c r="E97" s="86"/>
      <c r="F97" s="84"/>
      <c r="G97" s="84"/>
      <c r="H97" s="84"/>
      <c r="I97" s="84"/>
      <c r="J97" s="84"/>
      <c r="K97" s="84"/>
      <c r="L97" s="84"/>
      <c r="M97" s="84"/>
      <c r="N97" s="84"/>
      <c r="O97" s="84"/>
      <c r="P97" s="84"/>
      <c r="Q97" s="84"/>
      <c r="R97" s="84"/>
      <c r="S97" s="84"/>
      <c r="T97" s="84"/>
      <c r="U97" s="84"/>
      <c r="V97" s="84"/>
      <c r="W97" s="84"/>
      <c r="X97" s="84"/>
      <c r="Y97" s="84"/>
      <c r="Z97" s="84"/>
    </row>
    <row r="98" ht="15.75" customHeight="1">
      <c r="A98" s="84"/>
      <c r="B98" s="84"/>
      <c r="C98" s="84"/>
      <c r="D98" s="84"/>
      <c r="E98" s="86"/>
      <c r="F98" s="84"/>
      <c r="G98" s="84"/>
      <c r="H98" s="84"/>
      <c r="I98" s="84"/>
      <c r="J98" s="84"/>
      <c r="K98" s="84"/>
      <c r="L98" s="84"/>
      <c r="M98" s="84"/>
      <c r="N98" s="84"/>
      <c r="O98" s="84"/>
      <c r="P98" s="84"/>
      <c r="Q98" s="84"/>
      <c r="R98" s="84"/>
      <c r="S98" s="84"/>
      <c r="T98" s="84"/>
      <c r="U98" s="84"/>
      <c r="V98" s="84"/>
      <c r="W98" s="84"/>
      <c r="X98" s="84"/>
      <c r="Y98" s="84"/>
      <c r="Z98" s="84"/>
    </row>
    <row r="99" ht="15.75" customHeight="1">
      <c r="A99" s="84"/>
      <c r="B99" s="84"/>
      <c r="C99" s="84"/>
      <c r="D99" s="84"/>
      <c r="E99" s="86"/>
      <c r="F99" s="84"/>
      <c r="G99" s="84"/>
      <c r="H99" s="84"/>
      <c r="I99" s="84"/>
      <c r="J99" s="84"/>
      <c r="K99" s="84"/>
      <c r="L99" s="84"/>
      <c r="M99" s="84"/>
      <c r="N99" s="84"/>
      <c r="O99" s="84"/>
      <c r="P99" s="84"/>
      <c r="Q99" s="84"/>
      <c r="R99" s="84"/>
      <c r="S99" s="84"/>
      <c r="T99" s="84"/>
      <c r="U99" s="84"/>
      <c r="V99" s="84"/>
      <c r="W99" s="84"/>
      <c r="X99" s="84"/>
      <c r="Y99" s="84"/>
      <c r="Z99" s="84"/>
    </row>
    <row r="100" ht="15.75" customHeight="1">
      <c r="A100" s="84"/>
      <c r="B100" s="84"/>
      <c r="C100" s="84"/>
      <c r="D100" s="84"/>
      <c r="E100" s="86"/>
      <c r="F100" s="84"/>
      <c r="G100" s="84"/>
      <c r="H100" s="84"/>
      <c r="I100" s="84"/>
      <c r="J100" s="84"/>
      <c r="K100" s="84"/>
      <c r="L100" s="84"/>
      <c r="M100" s="84"/>
      <c r="N100" s="84"/>
      <c r="O100" s="84"/>
      <c r="P100" s="84"/>
      <c r="Q100" s="84"/>
      <c r="R100" s="84"/>
      <c r="S100" s="84"/>
      <c r="T100" s="84"/>
      <c r="U100" s="84"/>
      <c r="V100" s="84"/>
      <c r="W100" s="84"/>
      <c r="X100" s="84"/>
      <c r="Y100" s="84"/>
      <c r="Z100" s="84"/>
    </row>
    <row r="101" ht="15.75" customHeight="1">
      <c r="A101" s="84"/>
      <c r="B101" s="84"/>
      <c r="C101" s="84"/>
      <c r="D101" s="84"/>
      <c r="E101" s="86"/>
      <c r="F101" s="84"/>
      <c r="G101" s="84"/>
      <c r="H101" s="84"/>
      <c r="I101" s="84"/>
      <c r="J101" s="84"/>
      <c r="K101" s="84"/>
      <c r="L101" s="84"/>
      <c r="M101" s="84"/>
      <c r="N101" s="84"/>
      <c r="O101" s="84"/>
      <c r="P101" s="84"/>
      <c r="Q101" s="84"/>
      <c r="R101" s="84"/>
      <c r="S101" s="84"/>
      <c r="T101" s="84"/>
      <c r="U101" s="84"/>
      <c r="V101" s="84"/>
      <c r="W101" s="84"/>
      <c r="X101" s="84"/>
      <c r="Y101" s="84"/>
      <c r="Z101" s="84"/>
    </row>
    <row r="102" ht="15.75" customHeight="1">
      <c r="A102" s="84"/>
      <c r="B102" s="84"/>
      <c r="C102" s="84"/>
      <c r="D102" s="84"/>
      <c r="E102" s="86"/>
      <c r="F102" s="84"/>
      <c r="G102" s="84"/>
      <c r="H102" s="84"/>
      <c r="I102" s="84"/>
      <c r="J102" s="84"/>
      <c r="K102" s="84"/>
      <c r="L102" s="84"/>
      <c r="M102" s="84"/>
      <c r="N102" s="84"/>
      <c r="O102" s="84"/>
      <c r="P102" s="84"/>
      <c r="Q102" s="84"/>
      <c r="R102" s="84"/>
      <c r="S102" s="84"/>
      <c r="T102" s="84"/>
      <c r="U102" s="84"/>
      <c r="V102" s="84"/>
      <c r="W102" s="84"/>
      <c r="X102" s="84"/>
      <c r="Y102" s="84"/>
      <c r="Z102" s="84"/>
    </row>
    <row r="103" ht="15.75" customHeight="1">
      <c r="A103" s="84"/>
      <c r="B103" s="84"/>
      <c r="C103" s="84"/>
      <c r="D103" s="84"/>
      <c r="E103" s="86"/>
      <c r="F103" s="84"/>
      <c r="G103" s="84"/>
      <c r="H103" s="84"/>
      <c r="I103" s="84"/>
      <c r="J103" s="84"/>
      <c r="K103" s="84"/>
      <c r="L103" s="84"/>
      <c r="M103" s="84"/>
      <c r="N103" s="84"/>
      <c r="O103" s="84"/>
      <c r="P103" s="84"/>
      <c r="Q103" s="84"/>
      <c r="R103" s="84"/>
      <c r="S103" s="84"/>
      <c r="T103" s="84"/>
      <c r="U103" s="84"/>
      <c r="V103" s="84"/>
      <c r="W103" s="84"/>
      <c r="X103" s="84"/>
      <c r="Y103" s="84"/>
      <c r="Z103" s="84"/>
    </row>
    <row r="104" ht="15.75" customHeight="1">
      <c r="A104" s="84"/>
      <c r="B104" s="84"/>
      <c r="C104" s="84"/>
      <c r="D104" s="84"/>
      <c r="E104" s="86"/>
      <c r="F104" s="84"/>
      <c r="G104" s="84"/>
      <c r="H104" s="84"/>
      <c r="I104" s="84"/>
      <c r="J104" s="84"/>
      <c r="K104" s="84"/>
      <c r="L104" s="84"/>
      <c r="M104" s="84"/>
      <c r="N104" s="84"/>
      <c r="O104" s="84"/>
      <c r="P104" s="84"/>
      <c r="Q104" s="84"/>
      <c r="R104" s="84"/>
      <c r="S104" s="84"/>
      <c r="T104" s="84"/>
      <c r="U104" s="84"/>
      <c r="V104" s="84"/>
      <c r="W104" s="84"/>
      <c r="X104" s="84"/>
      <c r="Y104" s="84"/>
      <c r="Z104" s="84"/>
    </row>
    <row r="105" ht="15.75" customHeight="1">
      <c r="A105" s="84"/>
      <c r="B105" s="84"/>
      <c r="C105" s="84"/>
      <c r="D105" s="84"/>
      <c r="E105" s="86"/>
      <c r="F105" s="84"/>
      <c r="G105" s="84"/>
      <c r="H105" s="84"/>
      <c r="I105" s="84"/>
      <c r="J105" s="84"/>
      <c r="K105" s="84"/>
      <c r="L105" s="84"/>
      <c r="M105" s="84"/>
      <c r="N105" s="84"/>
      <c r="O105" s="84"/>
      <c r="P105" s="84"/>
      <c r="Q105" s="84"/>
      <c r="R105" s="84"/>
      <c r="S105" s="84"/>
      <c r="T105" s="84"/>
      <c r="U105" s="84"/>
      <c r="V105" s="84"/>
      <c r="W105" s="84"/>
      <c r="X105" s="84"/>
      <c r="Y105" s="84"/>
      <c r="Z105" s="84"/>
    </row>
    <row r="106" ht="15.75" customHeight="1">
      <c r="A106" s="1"/>
      <c r="B106" s="1"/>
      <c r="C106" s="1"/>
      <c r="D106" s="2"/>
      <c r="E106" s="3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2"/>
      <c r="E107" s="3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2"/>
      <c r="E108" s="3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2"/>
      <c r="E109" s="3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2"/>
      <c r="E110" s="3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2"/>
      <c r="E111" s="3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2"/>
      <c r="E112" s="3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2"/>
      <c r="E113" s="3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2"/>
      <c r="E114" s="3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2"/>
      <c r="E115" s="3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2"/>
      <c r="E116" s="3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2"/>
      <c r="E117" s="3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2"/>
      <c r="E118" s="3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2"/>
      <c r="E119" s="3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2"/>
      <c r="E120" s="3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2"/>
      <c r="E121" s="3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2"/>
      <c r="E122" s="3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2"/>
      <c r="E123" s="3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2"/>
      <c r="E124" s="3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2"/>
      <c r="E125" s="3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2"/>
      <c r="E126" s="3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2"/>
      <c r="E127" s="3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2"/>
      <c r="E128" s="3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2"/>
      <c r="E129" s="3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2"/>
      <c r="E130" s="3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2"/>
      <c r="E131" s="3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2"/>
      <c r="E132" s="3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2"/>
      <c r="E133" s="3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2"/>
      <c r="E134" s="3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2"/>
      <c r="E135" s="3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2"/>
      <c r="E136" s="3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2"/>
      <c r="E137" s="3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2"/>
      <c r="E138" s="3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2"/>
      <c r="E139" s="3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2"/>
      <c r="E140" s="3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2"/>
      <c r="E141" s="3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2"/>
      <c r="E142" s="3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2"/>
      <c r="E143" s="3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2"/>
      <c r="E144" s="3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2"/>
      <c r="E145" s="3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2"/>
      <c r="E146" s="3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2"/>
      <c r="E147" s="3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2"/>
      <c r="E148" s="3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2"/>
      <c r="E149" s="3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2"/>
      <c r="E150" s="3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2"/>
      <c r="E151" s="3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2"/>
      <c r="E152" s="3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2"/>
      <c r="E153" s="3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2"/>
      <c r="E154" s="3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2"/>
      <c r="E155" s="3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2"/>
      <c r="E156" s="3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2"/>
      <c r="E157" s="3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2"/>
      <c r="E158" s="3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2"/>
      <c r="E159" s="3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2"/>
      <c r="E160" s="3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2"/>
      <c r="E161" s="3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2"/>
      <c r="E162" s="3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2"/>
      <c r="E163" s="3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2"/>
      <c r="E164" s="3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2"/>
      <c r="E165" s="3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2"/>
      <c r="E166" s="3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2"/>
      <c r="E167" s="3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2"/>
      <c r="E168" s="3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2"/>
      <c r="E169" s="3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2"/>
      <c r="E170" s="3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2"/>
      <c r="E171" s="3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2"/>
      <c r="E172" s="3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2"/>
      <c r="E173" s="3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2"/>
      <c r="E174" s="3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2"/>
      <c r="E175" s="3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2"/>
      <c r="E176" s="3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2"/>
      <c r="E177" s="3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2"/>
      <c r="E178" s="3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2"/>
      <c r="E179" s="3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2"/>
      <c r="E180" s="3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2"/>
      <c r="E181" s="3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2"/>
      <c r="E182" s="3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2"/>
      <c r="E183" s="3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2"/>
      <c r="E184" s="3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2"/>
      <c r="E185" s="3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2"/>
      <c r="E186" s="3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2"/>
      <c r="E187" s="3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2"/>
      <c r="E188" s="3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2"/>
      <c r="E189" s="3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2"/>
      <c r="E190" s="3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2"/>
      <c r="E191" s="3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2"/>
      <c r="E192" s="3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2"/>
      <c r="E193" s="3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2"/>
      <c r="E194" s="3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2"/>
      <c r="E195" s="3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2"/>
      <c r="E196" s="3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2"/>
      <c r="E197" s="3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2"/>
      <c r="E198" s="3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2"/>
      <c r="E199" s="3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2"/>
      <c r="E200" s="3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2"/>
      <c r="E201" s="3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2"/>
      <c r="E202" s="3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2"/>
      <c r="E203" s="3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2"/>
      <c r="E204" s="3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2"/>
      <c r="E205" s="3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2"/>
      <c r="E206" s="3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2"/>
      <c r="E207" s="3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2"/>
      <c r="E208" s="3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2"/>
      <c r="E209" s="3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2"/>
      <c r="E210" s="3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2"/>
      <c r="E211" s="3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2"/>
      <c r="E212" s="3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2"/>
      <c r="E213" s="3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2"/>
      <c r="E214" s="3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2"/>
      <c r="E215" s="3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2"/>
      <c r="E216" s="3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2"/>
      <c r="E217" s="3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2"/>
      <c r="E218" s="3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2"/>
      <c r="E219" s="3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2"/>
      <c r="E220" s="3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2"/>
      <c r="E221" s="3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2"/>
      <c r="E222" s="3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2"/>
      <c r="E223" s="3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2"/>
      <c r="E224" s="3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2"/>
      <c r="E225" s="3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2"/>
      <c r="E226" s="3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2"/>
      <c r="E227" s="3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2"/>
      <c r="E228" s="3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2"/>
      <c r="E229" s="3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2"/>
      <c r="E230" s="3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2"/>
      <c r="E231" s="3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2"/>
      <c r="E232" s="3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2"/>
      <c r="E233" s="3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2"/>
      <c r="E234" s="3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2"/>
      <c r="E235" s="3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2"/>
      <c r="E236" s="3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2"/>
      <c r="E237" s="3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2"/>
      <c r="E238" s="3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2"/>
      <c r="E239" s="3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2"/>
      <c r="E240" s="3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2"/>
      <c r="E241" s="3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2"/>
      <c r="E242" s="3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2"/>
      <c r="E243" s="3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2"/>
      <c r="E244" s="3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2"/>
      <c r="E245" s="3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2"/>
      <c r="E246" s="3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2"/>
      <c r="E247" s="3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2"/>
      <c r="E248" s="3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2"/>
      <c r="E249" s="3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2"/>
      <c r="E250" s="3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2"/>
      <c r="E251" s="3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2"/>
      <c r="E252" s="3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2"/>
      <c r="E253" s="3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2"/>
      <c r="E254" s="3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2"/>
      <c r="E255" s="3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2"/>
      <c r="E256" s="3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2"/>
      <c r="E257" s="3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2"/>
      <c r="E258" s="3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2"/>
      <c r="E259" s="3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2"/>
      <c r="E260" s="3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2"/>
      <c r="E261" s="3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2"/>
      <c r="E262" s="3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2"/>
      <c r="E263" s="3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2"/>
      <c r="E264" s="3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2"/>
      <c r="E265" s="3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2"/>
      <c r="E266" s="3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2"/>
      <c r="E267" s="3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2"/>
      <c r="E268" s="3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2"/>
      <c r="E269" s="3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2"/>
      <c r="E270" s="3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2"/>
      <c r="E271" s="3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2"/>
      <c r="E272" s="3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2"/>
      <c r="E273" s="3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2"/>
      <c r="E274" s="3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2"/>
      <c r="E275" s="3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2"/>
      <c r="E276" s="3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2"/>
      <c r="E277" s="3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2"/>
      <c r="E278" s="3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2"/>
      <c r="E279" s="3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2"/>
      <c r="E280" s="3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2"/>
      <c r="E281" s="3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2"/>
      <c r="E282" s="3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2"/>
      <c r="E283" s="3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2"/>
      <c r="E284" s="3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2"/>
      <c r="E285" s="3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2"/>
      <c r="E286" s="3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2"/>
      <c r="E287" s="3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2"/>
      <c r="E288" s="3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2"/>
      <c r="E289" s="3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10">
    <mergeCell ref="B60:F60"/>
    <mergeCell ref="B64:F64"/>
    <mergeCell ref="B69:D69"/>
    <mergeCell ref="B2:G2"/>
    <mergeCell ref="C12:F12"/>
    <mergeCell ref="C26:E26"/>
    <mergeCell ref="C29:E29"/>
    <mergeCell ref="B46:F46"/>
    <mergeCell ref="B47:F47"/>
    <mergeCell ref="B59:F59"/>
  </mergeCells>
  <dataValidations>
    <dataValidation type="decimal" allowBlank="1" showInputMessage="1" showErrorMessage="1" prompt="Entre 1 y 9 personas." sqref="B86">
      <formula1>1.0</formula1>
      <formula2>9.0</formula2>
    </dataValidation>
  </dataValidations>
  <hyperlinks>
    <hyperlink r:id="rId2" location="v=onepage&amp;q=e7%20part-time%20members&amp;f=false" ref="H33"/>
    <hyperlink r:id="rId3" location="v=onepage&amp;q=e7%20part-time%20members&amp;f=false" ref="H51"/>
  </hyperlinks>
  <printOptions/>
  <pageMargins bottom="1.0" footer="0.0" header="0.0" left="0.75" right="0.75" top="1.0"/>
  <pageSetup orientation="portrait"/>
  <drawing r:id="rId4"/>
  <legacyDrawing r:id="rId5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2021-09-16T15:20:38Z</dcterms:created>
  <dc:creator>Valeria Centurión</dc:creator>
</cp:coreProperties>
</file>