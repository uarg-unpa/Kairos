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on06" sheetId="1" r:id="rId4"/>
    <sheet state="visible" name="Cálculo velocidad de equipo Est" sheetId="2" r:id="rId5"/>
    <sheet state="visible" name="Estimación 06 con velocidad aju" sheetId="3" r:id="rId6"/>
    <sheet state="visible" name="Estimacion06 (Optimista)" sheetId="4" r:id="rId7"/>
    <sheet state="visible" name="Estimacion06 (Pesimista)" sheetId="5" r:id="rId8"/>
  </sheets>
  <definedNames>
    <definedName localSheetId="0" name="solver_eng">1</definedName>
    <definedName localSheetId="1" name="solver_eng">1</definedName>
    <definedName localSheetId="2" name="solver_eng">1</definedName>
    <definedName localSheetId="0" name="solver_neg">1</definedName>
    <definedName localSheetId="1" name="solver_neg">1</definedName>
    <definedName localSheetId="2" name="solver_neg">1</definedName>
    <definedName localSheetId="0" name="solver_num">0</definedName>
    <definedName localSheetId="1" name="solver_num">0</definedName>
    <definedName localSheetId="2" name="solver_num">0</definedName>
    <definedName localSheetId="0" name="solver_typ">1</definedName>
    <definedName localSheetId="1" name="solver_typ">1</definedName>
    <definedName localSheetId="2" name="solver_typ">1</definedName>
    <definedName localSheetId="0" name="solver_val">0</definedName>
    <definedName localSheetId="1" name="solver_val">0</definedName>
    <definedName localSheetId="2" name="solver_val">0</definedName>
    <definedName localSheetId="0" name="solver_ver">3</definedName>
    <definedName localSheetId="1" name="solver_ver">3</definedName>
    <definedName localSheetId="2" name="solver_ver">3</definedName>
    <definedName localSheetId="3" name="solver_opt">'Estimacion06 (Optimista)'!$D$67</definedName>
    <definedName localSheetId="2" name="solver_opt">'Estimación 06 con velocidad aju'!$D$71</definedName>
    <definedName localSheetId="1" name="solver_opt">'Cálculo velocidad de equipo Est'!$D$71</definedName>
    <definedName localSheetId="0" name="solver_opt">Estimacion06!$D$71</definedName>
    <definedName localSheetId="4" name="solver_opt">'Estimacion06 (Pesimista)'!$D$68</definedName>
  </definedNames>
  <calcPr/>
  <extLst>
    <ext uri="GoogleSheetsCustomDataVersion2">
      <go:sheetsCustomData xmlns:go="http://customooxmlschemas.google.com/" r:id="rId9" roundtripDataChecksum="DrLYOY1t+/NjSQevoGDToqPPIskiapBxeKxa6okbud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9">
      <text>
        <t xml:space="preserve">======
ID#AAAA4EXGEY4
Autor    (2023-08-29 20:18:46)
Evalúa si los analistas han sido capaces de mantener estables los requerimientos en el pasado, minimizando los cambios del software.</t>
      </text>
    </comment>
    <comment authorId="0" ref="C15">
      <text>
        <t xml:space="preserve">======
ID#AAAA4EXGEY0
Ejemplo    (2023-08-29 20:18:46)
contar transacciones
Flujo.Ppal.: transacciones 1, 2, 3, 4. 
Flujo Alt.: 0 transaccioines. 
Excepciones.: N/A -&gt; 0 transacciones
-&gt; suma = 4 transacciones</t>
      </text>
    </comment>
    <comment authorId="0" ref="B48">
      <text>
        <t xml:space="preserve">======
ID#AAAA4EXGEYs
Autor    (2023-08-29 20:18:46)
¿Se requiere formación específica para los Usuarios?</t>
      </text>
    </comment>
    <comment authorId="0" ref="B43">
      <text>
        <t xml:space="preserve">======
ID#AAAA4EXGEYw
Autor    (2023-08-29 20:18:46)
¿La aplicación, debe funcionar en más de una plataforma?</t>
      </text>
    </comment>
    <comment authorId="0" ref="B37">
      <text>
        <t xml:space="preserve">======
ID#AAAA4EXGEYo
Autor    (2023-08-29 20:18:46)
¿Cuál es la importancia del tiempo de respuesta de la aplicación para el usuario final?</t>
      </text>
    </comment>
    <comment authorId="0" ref="B80">
      <text>
        <t xml:space="preserve">======
ID#AAAA4EXGEYk
Autor    (2023-08-29 20:18:46)
Análisis/Diseño/Pruebas/Sobrecarga</t>
      </text>
    </comment>
    <comment authorId="0" ref="B44">
      <text>
        <t xml:space="preserve">======
ID#AAAA4EXGEYg
Autor    (2023-08-29 20:18:46)
¿El cliente requiere que la aplicación se pueda cambiar fácilmente en el futuro?</t>
      </text>
    </comment>
    <comment authorId="0" ref="B61">
      <text>
        <t xml:space="preserve">======
ID#AAAA4EXGEYc
Autor    (2023-08-29 20:18:46)
Este es un factor con signo opuesto a los factores E6 y anteriores. Cuanto mayor la evaluación, peor el resultado.</t>
      </text>
    </comment>
    <comment authorId="0" ref="B42">
      <text>
        <t xml:space="preserve">======
ID#AAAA4EXGEYY
Autor    (2023-08-29 20:18:46)
¿Hay requerimientos especiales respecto de la facilidad de uso?</t>
      </text>
    </comment>
    <comment authorId="0" ref="B54">
      <text>
        <t xml:space="preserve">======
ID#AAAA4EXGEYU
Autor    (2023-08-29 20:18:46)
Debe reflejar el hecho de que el equipo conoce el proceso y el lenguaje de modelado (p.ej.: RUP, UML). Puede ser cualquier otro proceso.</t>
      </text>
    </comment>
    <comment authorId="0" ref="B40">
      <text>
        <t xml:space="preserve">======
ID#AAAA4EXGEYQ
Autor    (2023-08-29 20:18:46)
¿La aplicación requiere diseñarse para ser altamente reusable?</t>
      </text>
    </comment>
    <comment authorId="0" ref="B60">
      <text>
        <t xml:space="preserve">======
ID#AAAA4EXGEYM
Autor    (2023-08-29 20:18:46)
Este es un factor con signo opuesto a los factores E6 y anteriores. Cuanto mayor la evaluación, peor el resultado.</t>
      </text>
    </comment>
    <comment authorId="0" ref="C7">
      <text>
        <t xml:space="preserve"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77">
      <text>
        <t xml:space="preserve">======
ID#AAAA4EXGEYE
Autor    (2023-08-29 20:18:46)
Esta distribución es una referencia. Proyecto a proyecto debe actualizarse mediante  ESTADISTICAS.</t>
      </text>
    </comment>
    <comment authorId="0" ref="G71">
      <text>
        <t xml:space="preserve"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55">
      <text>
        <t xml:space="preserve">======
ID#AAAA4EXGEX8
Autor    (2023-08-29 20:18:46)
¿Ya trabajado el equipo en el area (dominio) de la aplicación?</t>
      </text>
    </comment>
    <comment authorId="0" ref="B38">
      <text>
        <t xml:space="preserve">======
ID#AAAA4EXGEX4
Autor    (2023-08-29 20:18:46)
¿La aplicacion está diseñada para que el usuario incremente SU eficiencia (no solo cumpla su cometido)?</t>
      </text>
    </comment>
    <comment authorId="0" ref="B56">
      <text>
        <t xml:space="preserve">======
ID#AAAA4EXGEXw
Autor    (2023-08-29 20:18:46)
Se refiere exclusivamente a la experiencia en el análisis, modelado, diseño y progrmación  mediante el paradigma de OO.</t>
      </text>
    </comment>
    <comment authorId="0" ref="B89">
      <text>
        <t xml:space="preserve">======
ID#AAAA4EXGEX0
Autor    (2023-08-29 20:18:46)
Lo debe sugerir el estimador.</t>
      </text>
    </comment>
    <comment authorId="0" ref="B46">
      <text>
        <t xml:space="preserve">======
ID#AAAA4EXGEXs
Autor    (2023-08-29 20:18:46)
¿Es suficiente con las prestaciones de seguridad normales, o hace falta algo especial?</t>
      </text>
    </comment>
    <comment authorId="0" ref="B58">
      <text>
        <t xml:space="preserve">======
ID#AAAA4EXGEXo
Autor    (2023-08-29 20:18:46)
Motivación del equipo.</t>
      </text>
    </comment>
    <comment authorId="0" ref="B47">
      <text>
        <t xml:space="preserve">======
ID#AAAA4EXGEXk
Autor    (2023-08-29 20:18:46)
¿Nuestro código usará componentes COTS, librerías frameworks ya desarrollados? Si así fuera, reducirá la carga de trabajo de desarrollo.</t>
      </text>
    </comment>
    <comment authorId="0" ref="B36">
      <text>
        <t xml:space="preserve">======
ID#AAAA4EXGEXg
Autor    (2023-08-29 20:18:46)
¿Arquitectura centralizada o distribuida?</t>
      </text>
    </comment>
    <comment authorId="0" ref="B45">
      <text>
        <t xml:space="preserve">======
ID#AAAA4EXGEXc
Autor    (2023-08-29 20:18:46)
¿Hace falta consideraciones especiales para el acceso concurrente (paralelo) a datos y otros recursos?</t>
      </text>
    </comment>
    <comment authorId="0" ref="B57">
      <text>
        <t xml:space="preserve">======
ID#AAAA4EXGEXY
Autor    (2023-08-29 20:18:46)
Se refiere a la experiencia en el análisis de requerimientos y modelado orientado a objetos del Analista Principal.</t>
      </text>
    </comment>
    <comment authorId="0" ref="B41">
      <text>
        <t xml:space="preserve">======
ID#AAAA4EXGEXU
Autor    (2023-08-29 20:18:46)
¿La aplicación debe ser de fácil instalación (para usuarios sin capacidad técnica) o no?</t>
      </text>
    </comment>
    <comment authorId="0" ref="B39">
      <text>
        <t xml:space="preserve">======
ID#AAAA4EXGEXQ
Autor    (2023-08-29 20:18:46)
¿La aplicación requiere de algoritmos complejos?</t>
      </text>
    </comment>
    <comment authorId="0" ref="B86">
      <text>
        <t xml:space="preserve">======
ID#AAABtQuPeUs
Autor    (2023-08-29 20:18:46)
Análisis/Diseño/Pruebas/Sobrecarga</t>
      </text>
    </comment>
    <comment authorId="0" ref="B83">
      <text>
        <t xml:space="preserve">======
ID#AAABtQuPeXQ
Autor    (2023-08-29 20:18:46)
Esta distribución es una referencia. Proyecto a proyecto debe actualizarse mediante  ESTADISTICAS.</t>
      </text>
    </comment>
  </commentList>
  <extLst>
    <ext uri="GoogleSheetsCustomDataVersion2">
      <go:sheetsCustomData xmlns:go="http://customooxmlschemas.google.com/" r:id="rId1" roundtripDataSignature="AMtx7mjqrbpntvf/ScvBB4FKtV+6afdRB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3">
      <text>
        <t xml:space="preserve">======
ID#AAABtQuPeV0
Autor    (2023-08-29 20:18:46)
Esta distribución es una referencia. Proyecto a proyecto debe actualizarse mediante  ESTADISTICAS.</t>
      </text>
    </comment>
    <comment authorId="0" ref="B54">
      <text>
        <t xml:space="preserve">======
ID#AAABtQuPeXo
Autor    (2023-08-29 20:18:46)
Motivación del equipo.</t>
      </text>
    </comment>
    <comment authorId="0" ref="B39">
      <text>
        <t xml:space="preserve">======
ID#AAABtQuPeXw
Autor    (2023-08-29 20:18:46)
¿La aplicación, debe funcionar en más de una plataforma?</t>
      </text>
    </comment>
    <comment authorId="0" ref="B50">
      <text>
        <t xml:space="preserve">======
ID#AAABtQuPeUY
Autor    (2023-08-29 20:18:46)
Debe reflejar el hecho de que el equipo conoce el proceso y el lenguaje de modelado (p.ej.: RUP, UML). Puede ser cualquier otro proceso.</t>
      </text>
    </comment>
    <comment authorId="0" ref="B38">
      <text>
        <t xml:space="preserve">======
ID#AAABtQuPeVI
Autor    (2023-08-29 20:18:46)
¿Hay requerimientos especiales respecto de la facilidad de uso?</t>
      </text>
    </comment>
    <comment authorId="0" ref="B44">
      <text>
        <t xml:space="preserve">======
ID#AAABtQuPeVE
Autor    (2023-08-29 20:18:46)
¿Se requiere formación específica para los Usuarios?</t>
      </text>
    </comment>
    <comment authorId="0" ref="B57">
      <text>
        <t xml:space="preserve">======
ID#AAABtQuPeVQ
Autor    (2023-08-29 20:18:46)
Este es un factor con signo opuesto a los factores E6 y anteriores. Cuanto mayor la evaluación, peor el resultado.</t>
      </text>
    </comment>
    <comment authorId="0" ref="B52">
      <text>
        <t xml:space="preserve">======
ID#AAABtQuPeW0
Autor    (2023-08-29 20:18:46)
Se refiere exclusivamente a la experiencia en el análisis, modelado, diseño y progrmación  mediante el paradigma de OO.</t>
      </text>
    </comment>
    <comment authorId="0" ref="B51">
      <text>
        <t xml:space="preserve">======
ID#AAABtQuPeVY
Autor    (2023-08-29 20:18:46)
¿Ya trabajado el equipo en el area (dominio) de la aplicación?</t>
      </text>
    </comment>
    <comment authorId="0" ref="B42">
      <text>
        <t xml:space="preserve">======
ID#AAABtQuPeVc
Autor    (2023-08-29 20:18:46)
¿Es suficiente con las prestaciones de seguridad normales, o hace falta algo especial?</t>
      </text>
    </comment>
    <comment authorId="0" ref="B56">
      <text>
        <t xml:space="preserve">======
ID#AAABtQuPeWQ
Autor    (2023-08-29 20:18:46)
Este es un factor con signo opuesto a los factores E6 y anteriores. Cuanto mayor la evaluación, peor el resultado.</t>
      </text>
    </comment>
    <comment authorId="0" ref="B32">
      <text>
        <t xml:space="preserve">======
ID#AAABtQuPeX0
Autor    (2023-08-29 20:18:46)
¿Arquitectura centralizada o distribuida?</t>
      </text>
    </comment>
    <comment authorId="0" ref="B55">
      <text>
        <t xml:space="preserve">======
ID#AAABtQuPeVo
Autor    (2023-08-29 20:18:46)
Evalúa si los analistas han sido capaces de mantener estables los requerimientos en el pasado, minimizando los cambios del software.</t>
      </text>
    </comment>
    <comment authorId="0" ref="B36">
      <text>
        <t xml:space="preserve">======
ID#AAABtQuPeWM
Autor    (2023-08-29 20:18:46)
¿La aplicación requiere diseñarse para ser altamente reusable?</t>
      </text>
    </comment>
    <comment authorId="0" ref="B79">
      <text>
        <t xml:space="preserve">======
ID#AAABtQuPeVk
Autor    (2023-08-29 20:18:46)
Esta distribución es una referencia. Proyecto a proyecto debe actualizarse mediante  ESTADISTICAS.</t>
      </text>
    </comment>
    <comment authorId="0" ref="B85">
      <text>
        <t xml:space="preserve">======
ID#AAABtQuPeWY
Autor    (2023-08-29 20:18:46)
Lo debe sugerir el estimador.</t>
      </text>
    </comment>
    <comment authorId="0" ref="B82">
      <text>
        <t xml:space="preserve">======
ID#AAABtQuPeWU
Autor    (2023-08-29 20:18:46)
Análisis/Diseño/Pruebas/Sobrecarga</t>
      </text>
    </comment>
    <comment authorId="0" ref="B41">
      <text>
        <t xml:space="preserve">======
ID#AAABtQuPeX4
Autor    (2023-08-29 20:18:46)
¿Hace falta consideraciones especiales para el acceso concurrente (paralelo) a datos y otros recursos?</t>
      </text>
    </comment>
    <comment authorId="0" ref="B76">
      <text>
        <t xml:space="preserve">======
ID#AAABtQuPeVs
Autor    (2023-08-29 20:18:46)
Análisis/Diseño/Pruebas/Sobrecarga</t>
      </text>
    </comment>
    <comment authorId="0" ref="B33">
      <text>
        <t xml:space="preserve">======
ID#AAABtQuPeWg
Autor    (2023-08-29 20:18:46)
¿Cuál es la importancia del tiempo de respuesta de la aplicación para el usuario final?</t>
      </text>
    </comment>
    <comment authorId="0" ref="G67">
      <text>
        <t xml:space="preserve">======
ID#AAABtQuPeXI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C14">
      <text>
        <t xml:space="preserve">======
ID#AAABtQuPeWc
Ejemplo    (2023-08-29 20:18:46)
contar transacciones
Flujo.Ppal.: transacciones 1, 2, 3, 4. 
Flujo Alt.: 0 transaccioines. 
Excepciones.: N/A -&gt; 0 transacciones
-&gt; suma = 4 transacciones</t>
      </text>
    </comment>
    <comment authorId="0" ref="B53">
      <text>
        <t xml:space="preserve">======
ID#AAABtQuPeU0
Autor    (2023-08-29 20:18:46)
Se refiere a la experiencia en el análisis de requerimientos y modelado orientado a objetos del Analista Principal.</t>
      </text>
    </comment>
    <comment authorId="0" ref="C7">
      <text>
        <t xml:space="preserve">======
ID#AAABtQuPeWk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34">
      <text>
        <t xml:space="preserve">======
ID#AAABtQuPeU4
Autor    (2023-08-29 20:18:46)
¿La aplicacion está diseñada para que el usuario incremente SU eficiencia (no solo cumpla su cometido)?</t>
      </text>
    </comment>
    <comment authorId="0" ref="B37">
      <text>
        <t xml:space="preserve">======
ID#AAABtQuPeWs
Autor    (2023-08-29 20:18:46)
¿La aplicación debe ser de fácil instalación (para usuarios sin capacidad técnica) o no?</t>
      </text>
    </comment>
    <comment authorId="0" ref="B43">
      <text>
        <t xml:space="preserve">======
ID#AAABtQuPeXU
Autor    (2023-08-29 20:18:46)
¿Nuestro código usará componentes COTS, librerías frameworks ya desarrollados? Si así fuera, reducirá la carga de trabajo de desarrollo.</t>
      </text>
    </comment>
    <comment authorId="0" ref="B40">
      <text>
        <t xml:space="preserve">======
ID#AAABtQuPeXk
Autor    (2023-08-29 20:18:46)
¿El cliente requiere que la aplicación se pueda cambiar fácilmente en el futuro?</t>
      </text>
    </comment>
    <comment authorId="0" ref="B35">
      <text>
        <t xml:space="preserve">======
ID#AAABtQuPeYE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ir3GbXhNrGyUa6/jSjGcNVbr94b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7">
      <text>
        <t xml:space="preserve">======
ID#AAABtQuPeXs
Autor    (2023-08-29 20:18:46)
¿La aplicación requiere diseñarse para ser altamente reusable?</t>
      </text>
    </comment>
    <comment authorId="0" ref="G68">
      <text>
        <t xml:space="preserve">======
ID#AAABtQuPeV8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C7">
      <text>
        <t xml:space="preserve">======
ID#AAABtQuPeV4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36">
      <text>
        <t xml:space="preserve">======
ID#AAABtQuPeVA
Autor    (2023-08-29 20:18:46)
¿La aplicación requiere de algoritmos complejos?</t>
      </text>
    </comment>
    <comment authorId="0" ref="B54">
      <text>
        <t xml:space="preserve">======
ID#AAABtQuPeUg
Autor    (2023-08-29 20:18:46)
Se refiere a la experiencia en el análisis de requerimientos y modelado orientado a objetos del Analista Principal.</t>
      </text>
    </comment>
    <comment authorId="0" ref="B34">
      <text>
        <t xml:space="preserve">======
ID#AAABtQuPeUc
Autor    (2023-08-29 20:18:46)
¿Cuál es la importancia del tiempo de respuesta de la aplicación para el usuario final?</t>
      </text>
    </comment>
    <comment authorId="0" ref="B57">
      <text>
        <t xml:space="preserve">======
ID#AAABtQuPeUo
Autor    (2023-08-29 20:18:46)
Este es un factor con signo opuesto a los factores E6 y anteriores. Cuanto mayor la evaluación, peor el resultado.</t>
      </text>
    </comment>
    <comment authorId="0" ref="B41">
      <text>
        <t xml:space="preserve">======
ID#AAABtQuPeUk
Autor    (2023-08-29 20:18:46)
¿El cliente requiere que la aplicación se pueda cambiar fácilmente en el futuro?</t>
      </text>
    </comment>
    <comment authorId="0" ref="B52">
      <text>
        <t xml:space="preserve">======
ID#AAABtQuPeVM
Autor    (2023-08-29 20:18:46)
¿Ya trabajado el equipo en el area (dominio) de la aplicación?</t>
      </text>
    </comment>
    <comment authorId="0" ref="B44">
      <text>
        <t xml:space="preserve">======
ID#AAABtQuPeUw
Autor    (2023-08-29 20:18:46)
¿Nuestro código usará componentes COTS, librerías frameworks ya desarrollados? Si así fuera, reducirá la carga de trabajo de desarrollo.</t>
      </text>
    </comment>
    <comment authorId="0" ref="C15">
      <text>
        <t xml:space="preserve">======
ID#AAABtQuPeW8
Ejemplo    (2023-08-29 20:18:46)
contar transacciones
Flujo.Ppal.: transacciones 1, 2, 3, 4. 
Flujo Alt.: 0 transaccioines. 
Excepciones.: N/A -&gt; 0 transacciones
-&gt; suma = 4 transacciones</t>
      </text>
    </comment>
    <comment authorId="0" ref="B74">
      <text>
        <t xml:space="preserve">======
ID#AAABtQuPeVU
Autor    (2023-08-29 20:18:46)
Esta distribución es una referencia. Proyecto a proyecto debe actualizarse mediante  ESTADISTICAS.</t>
      </text>
    </comment>
    <comment authorId="0" ref="B55">
      <text>
        <t xml:space="preserve">======
ID#AAABtQuPeW4
Autor    (2023-08-29 20:18:46)
Motivación del equipo.</t>
      </text>
    </comment>
    <comment authorId="0" ref="B53">
      <text>
        <t xml:space="preserve">======
ID#AAABtQuPeWA
Autor    (2023-08-29 20:18:46)
Se refiere exclusivamente a la experiencia en el análisis, modelado, diseño y progrmación  mediante el paradigma de OO.</t>
      </text>
    </comment>
    <comment authorId="0" ref="B56">
      <text>
        <t xml:space="preserve">======
ID#AAABtQuPeWI
Autor    (2023-08-29 20:18:46)
Evalúa si los analistas han sido capaces de mantener estables los requerimientos en el pasado, minimizando los cambios del software.</t>
      </text>
    </comment>
    <comment authorId="0" ref="B77">
      <text>
        <t xml:space="preserve">======
ID#AAABtQuPeVg
Autor    (2023-08-29 20:18:46)
Análisis/Diseño/Pruebas/Sobrecarga</t>
      </text>
    </comment>
    <comment authorId="0" ref="B80">
      <text>
        <t xml:space="preserve">======
ID#AAABtQuPeWE
Autor    (2023-08-29 20:18:46)
Esta distribución es una referencia. Proyecto a proyecto debe actualizarse mediante  ESTADISTICAS.</t>
      </text>
    </comment>
    <comment authorId="0" ref="B39">
      <text>
        <t xml:space="preserve">======
ID#AAABtQuPeX8
Autor    (2023-08-29 20:18:46)
¿Hay requerimientos especiales respecto de la facilidad de uso?</t>
      </text>
    </comment>
    <comment authorId="0" ref="B45">
      <text>
        <t xml:space="preserve">======
ID#AAABtQuPeVw
Autor    (2023-08-29 20:18:46)
¿Se requiere formación específica para los Usuarios?</t>
      </text>
    </comment>
    <comment authorId="0" ref="B38">
      <text>
        <t xml:space="preserve">======
ID#AAABtQuPeXA
Autor    (2023-08-29 20:18:46)
¿La aplicación debe ser de fácil instalación (para usuarios sin capacidad técnica) o no?</t>
      </text>
    </comment>
    <comment authorId="0" ref="B86">
      <text>
        <t xml:space="preserve">======
ID#AAABtQuPeXE
Autor    (2023-08-29 20:18:46)
Lo debe sugerir el estimador.</t>
      </text>
    </comment>
    <comment authorId="0" ref="B58">
      <text>
        <t xml:space="preserve">======
ID#AAABtQuPeWo
Autor    (2023-08-29 20:18:46)
Este es un factor con signo opuesto a los factores E6 y anteriores. Cuanto mayor la evaluación, peor el resultado.</t>
      </text>
    </comment>
    <comment authorId="0" ref="B33">
      <text>
        <t xml:space="preserve">======
ID#AAABtQuPeXM
Autor    (2023-08-29 20:18:46)
¿Arquitectura centralizada o distribuida?</t>
      </text>
    </comment>
    <comment authorId="0" ref="B35">
      <text>
        <t xml:space="preserve">======
ID#AAABtQuPeU8
Autor    (2023-08-29 20:18:46)
¿La aplicacion está diseñada para que el usuario incremente SU eficiencia (no solo cumpla su cometido)?</t>
      </text>
    </comment>
    <comment authorId="0" ref="B40">
      <text>
        <t xml:space="preserve">======
ID#AAABtQuPeWw
Autor    (2023-08-29 20:18:46)
¿La aplicación, debe funcionar en más de una plataforma?</t>
      </text>
    </comment>
    <comment authorId="0" ref="B83">
      <text>
        <t xml:space="preserve">======
ID#AAABtQuPeXY
Autor    (2023-08-29 20:18:46)
Análisis/Diseño/Pruebas/Sobrecarga</t>
      </text>
    </comment>
    <comment authorId="0" ref="B51">
      <text>
        <t xml:space="preserve">======
ID#AAABtQuPeXc
Autor    (2023-08-29 20:18:46)
Debe reflejar el hecho de que el equipo conoce el proceso y el lenguaje de modelado (p.ej.: RUP, UML). Puede ser cualquier otro proceso.</t>
      </text>
    </comment>
    <comment authorId="0" ref="B42">
      <text>
        <t xml:space="preserve">======
ID#AAABtQuPeYA
Autor    (2023-08-29 20:18:46)
¿Hace falta consideraciones especiales para el acceso concurrente (paralelo) a datos y otros recursos?</t>
      </text>
    </comment>
    <comment authorId="0" ref="B43">
      <text>
        <t xml:space="preserve">======
ID#AAABtQuPeXg
Autor    (2023-08-29 20:18:46)
¿Es suficiente con las prestaciones de seguridad normales, o hace falta algo especial?</t>
      </text>
    </comment>
  </commentList>
  <extLst>
    <ext uri="GoogleSheetsCustomDataVersion2">
      <go:sheetsCustomData xmlns:go="http://customooxmlschemas.google.com/" r:id="rId1" roundtripDataSignature="AMtx7mhfU+tuNghgPJ4lPryL0IpMLDDTAA=="/>
    </ext>
  </extLst>
</comments>
</file>

<file path=xl/sharedStrings.xml><?xml version="1.0" encoding="utf-8"?>
<sst xmlns="http://schemas.openxmlformats.org/spreadsheetml/2006/main" count="842" uniqueCount="178">
  <si>
    <t>ESTIMACIÓN por PUNTOS de CASO de USO</t>
  </si>
  <si>
    <t>Proyecto:</t>
  </si>
  <si>
    <t>Kairos</t>
  </si>
  <si>
    <t>Gestor de Proyecto:</t>
  </si>
  <si>
    <t>Valeria Centurion, Gillermo Escalante, Florencia Mendez, Agustina Maldonado, Gonzalo Ulloa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</si>
  <si>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</si>
  <si>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</si>
  <si>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</si>
  <si>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</si>
  <si>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</si>
  <si>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</si>
  <si>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</si>
  <si>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Líder del Proyecto</t>
  </si>
  <si>
    <t>Complejo</t>
  </si>
  <si>
    <t>Usuario con acceso total al sistema</t>
  </si>
  <si>
    <t>Administrador</t>
  </si>
  <si>
    <t>Usuario con acceso a vistas</t>
  </si>
  <si>
    <t>Miembro</t>
  </si>
  <si>
    <t>Sistema de inicio de sesión que interactua con el sistema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</si>
  <si>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</si>
  <si>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</si>
  <si>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</si>
  <si>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</si>
  <si>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</si>
  <si>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</si>
  <si>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CU23: Registrar usuario a proyecto</t>
  </si>
  <si>
    <t>Intermedio</t>
  </si>
  <si>
    <t>CU##: Gestionar proyectos</t>
  </si>
  <si>
    <t>CU03: Asignar rol</t>
  </si>
  <si>
    <t>Simple</t>
  </si>
  <si>
    <t>CU04: Modificar perfil</t>
  </si>
  <si>
    <t>CU23: Ver reporte</t>
  </si>
  <si>
    <t>CU02: Exportar información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</si>
  <si>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</si>
  <si>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</si>
  <si>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</si>
  <si>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</si>
  <si>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</si>
  <si>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</si>
  <si>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</si>
  <si>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</si>
  <si>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</si>
  <si>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</si>
  <si>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</si>
  <si>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</si>
  <si>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Para nuestro sistema no es importante</t>
  </si>
  <si>
    <t>Object-Oriented Analysis and Design for Information Systems: Modeling with UML, OCL, and IFML</t>
  </si>
  <si>
    <t>T2  Objetivos de Desempeño o Tiempo de Respuesta</t>
  </si>
  <si>
    <t>Si es importante para el funcionamiento del sistema</t>
  </si>
  <si>
    <t>T3  Eficiencia Usuario Final</t>
  </si>
  <si>
    <t>T4  Procesamiento Interno Complejo</t>
  </si>
  <si>
    <t>Se considera de complejidad media</t>
  </si>
  <si>
    <t>T5  Código Debe Ser Reusable</t>
  </si>
  <si>
    <t>No hace falta</t>
  </si>
  <si>
    <t>T6  Facilidad de Instalación</t>
  </si>
  <si>
    <t>Debe ser fácil de instalar</t>
  </si>
  <si>
    <t>T7  Facilidad de Uso</t>
  </si>
  <si>
    <t>Debe ser fácil de usar para el publico dirigido</t>
  </si>
  <si>
    <t>T8  Portabilidad</t>
  </si>
  <si>
    <t>Necesario para que sea compatible en diversas plataformas</t>
  </si>
  <si>
    <t>T9  Facilidad de Cambio</t>
  </si>
  <si>
    <t>Las funcionalidades son volátiles</t>
  </si>
  <si>
    <t>T10 Concurrencia</t>
  </si>
  <si>
    <t>Es multitarea</t>
  </si>
  <si>
    <t>T11 Incluye Características Especiales de Seguridad</t>
  </si>
  <si>
    <t>La autenticación es necesaria</t>
  </si>
  <si>
    <t>T12 Acceso Directo a Código de Terceros</t>
  </si>
  <si>
    <t>Si interactúa con diferentes sistemas</t>
  </si>
  <si>
    <t>T13 Necesidades de formación para los Usuarios</t>
  </si>
  <si>
    <t>Debera tener capacitacion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</si>
  <si>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</si>
  <si>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</si>
  <si>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</si>
  <si>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</si>
  <si>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</si>
  <si>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</si>
  <si>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</si>
  <si>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</si>
  <si>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</si>
  <si>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El equipo tiene conocimientos basicos, logicos en este tipos de proyectos</t>
  </si>
  <si>
    <t>1.5</t>
  </si>
  <si>
    <t>4.5</t>
  </si>
  <si>
    <t>E2 Experiencia en el Dominio de Aplicación</t>
  </si>
  <si>
    <t>El equipo de desarrollo está investigando y avanzando en el dominio de aplicación</t>
  </si>
  <si>
    <t>0.5</t>
  </si>
  <si>
    <t>E3 Experiencia en Orientación a Objetos</t>
  </si>
  <si>
    <t>El equipo cuenta con la experiencia en POO</t>
  </si>
  <si>
    <t>E4 Capacidad de Liderazgo del  Analista Principal</t>
  </si>
  <si>
    <t>El equipo cuenta con habilidades basicas de liderazgo</t>
  </si>
  <si>
    <t>E5 Motivación</t>
  </si>
  <si>
    <t>0=sin, 3=media, 5=alta</t>
  </si>
  <si>
    <t>El equipo esta dispuesto</t>
  </si>
  <si>
    <t>E6 Requerimientos Estables</t>
  </si>
  <si>
    <t>0=extremadamente inestable, 5=no cambian</t>
  </si>
  <si>
    <t>Los requerimientos son un poco estables</t>
  </si>
  <si>
    <t>E7 Miembros a Tiempo Parcial</t>
  </si>
  <si>
    <t>0=0% tiempo parcial, 1=h/10% t. parcial, 2=h/20% t. parcial, 3=h/40% t. parcial, 4=h/60% t. parcial, 5= más de 60% t. parcial</t>
  </si>
  <si>
    <t>Todos los miembros trabajaran a tiempo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</si>
  <si>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</si>
  <si>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</si>
  <si>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>Se empezó a investigar y poner en práctica el framework angular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</si>
  <si>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</si>
  <si>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</si>
  <si>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</si>
  <si>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</si>
  <si>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</si>
  <si>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</si>
  <si>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</si>
  <si>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</si>
  <si>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</si>
  <si>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</si>
  <si>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</si>
  <si>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</si>
  <si>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Dedicación Diaria (hs)</t>
  </si>
  <si>
    <t>Esfuerzo (mes-h)</t>
  </si>
  <si>
    <t>8a. ESFUERZO TOTAL</t>
  </si>
  <si>
    <t>Distribución Esfuerzo por Tarea (expresado en h-h)</t>
  </si>
  <si>
    <t>Actividad</t>
  </si>
  <si>
    <t>Porcentaje</t>
  </si>
  <si>
    <t>Karner
(h-h)</t>
  </si>
  <si>
    <t>Sch&amp;Win
(h-h)</t>
  </si>
  <si>
    <t>Propia
(h-h)</t>
  </si>
  <si>
    <t>Codificación</t>
  </si>
  <si>
    <t>Actividades restantes</t>
  </si>
  <si>
    <t>8b. ESFUERZO TOTAL</t>
  </si>
  <si>
    <t>Distribución Esfuerzo por Tarea (expresado en m-h)</t>
  </si>
  <si>
    <t>Karner
(m-h)</t>
  </si>
  <si>
    <t>Sch&amp;Win
(m-h)</t>
  </si>
  <si>
    <t>Propia
(m-h)</t>
  </si>
  <si>
    <t>9. NUMERO PERSONAS</t>
  </si>
  <si>
    <t>10. DURACION PROYECTO</t>
  </si>
  <si>
    <t>Karner
(m)</t>
  </si>
  <si>
    <t>Sch&amp;Win
(m)</t>
  </si>
  <si>
    <t>Propia
(m)</t>
  </si>
  <si>
    <t>CU01:  Iniciar sesión</t>
  </si>
  <si>
    <t>CU##: Gestionar tareas</t>
  </si>
  <si>
    <t>CU20:Registrar tiempo por cronómetro</t>
  </si>
  <si>
    <t>CU07: Crear etapa</t>
  </si>
  <si>
    <t>CU08: Crear iteración</t>
  </si>
  <si>
    <t>CU21: Registrar tiempo manual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</si>
  <si>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</si>
  <si>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</si>
  <si>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</si>
  <si>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</si>
  <si>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</si>
  <si>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112h (Codificación + pruebas) / 69.2 = 1.6 h-h/UCP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</si>
  <si>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</si>
  <si>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</si>
  <si>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</si>
  <si>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</si>
  <si>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</si>
  <si>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</si>
  <si>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2.5</t>
  </si>
  <si>
    <t>Las funcionalidades son estaticas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</si>
  <si>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</si>
  <si>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</si>
  <si>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El equipo se considera experto en el proceso definido</t>
  </si>
  <si>
    <t>El equipo de desarrollo tiene una experiencia alta en cuanto al Dominio de Aplicación</t>
  </si>
  <si>
    <t>El equipo cuenta con la experiencia en POO elevada</t>
  </si>
  <si>
    <t>El equipo tiene un alto analisis de requerimientos y modelado OO</t>
  </si>
  <si>
    <t>El equipo tiene una motivación alta</t>
  </si>
  <si>
    <t>Los requerimientos son estables</t>
  </si>
  <si>
    <t>Todos los miembros tienen meses de experiencia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</si>
  <si>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</si>
  <si>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</si>
  <si>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MiProyecto</t>
  </si>
  <si>
    <t>MiNombre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</si>
  <si>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</si>
  <si>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</si>
  <si>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</si>
  <si>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El equipo cuenta con la experiencia minima</t>
  </si>
  <si>
    <t>El equipo cuenta con la experiencia media</t>
  </si>
  <si>
    <t>El equipo está desmotivado</t>
  </si>
  <si>
    <t>Los requerimientos son algo inestables</t>
  </si>
  <si>
    <t>Los miembros tienen un 40% de tiempo parcial.</t>
  </si>
  <si>
    <t>Ningún miembro cuenta con la experiencia suficiente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</si>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</sst>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17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0.0"/>
      <color rgb="FF000000"/>
      <name val="Arial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  <font>
      <color theme="1"/>
      <name val="Arial"/>
    </font>
    <font>
      <u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5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7" fillId="0" fontId="5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vertical="center"/>
    </xf>
    <xf borderId="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0" fillId="2" fontId="4" numFmtId="49" xfId="0" applyAlignment="1" applyBorder="1" applyFont="1" applyNumberFormat="1">
      <alignment horizontal="center" shrinkToFit="0" vertical="center" wrapText="1"/>
    </xf>
    <xf borderId="11" fillId="3" fontId="8" numFmtId="0" xfId="0" applyAlignment="1" applyBorder="1" applyFill="1" applyFont="1">
      <alignment shrinkToFit="0" vertical="center" wrapText="1"/>
    </xf>
    <xf borderId="12" fillId="3" fontId="8" numFmtId="0" xfId="0" applyAlignment="1" applyBorder="1" applyFont="1">
      <alignment shrinkToFit="0" vertical="center" wrapText="1"/>
    </xf>
    <xf borderId="12" fillId="4" fontId="9" numFmtId="0" xfId="0" applyAlignment="1" applyBorder="1" applyFill="1" applyFont="1">
      <alignment horizontal="center" shrinkToFit="0" vertical="center" wrapText="1"/>
    </xf>
    <xf borderId="12" fillId="3" fontId="8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shrinkToFit="0" vertical="center" wrapText="1"/>
    </xf>
    <xf borderId="9" fillId="3" fontId="8" numFmtId="0" xfId="0" applyAlignment="1" applyBorder="1" applyFont="1">
      <alignment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4" numFmtId="49" xfId="0" applyAlignment="1" applyFont="1" applyNumberFormat="1">
      <alignment vertical="center"/>
    </xf>
    <xf borderId="11" fillId="3" fontId="8" numFmtId="0" xfId="0" applyAlignment="1" applyBorder="1" applyFont="1">
      <alignment shrinkToFit="0" wrapText="1"/>
    </xf>
    <xf borderId="12" fillId="3" fontId="7" numFmtId="0" xfId="0" applyAlignment="1" applyBorder="1" applyFont="1">
      <alignment shrinkToFit="0" wrapText="1"/>
    </xf>
    <xf borderId="12" fillId="3" fontId="8" numFmtId="0" xfId="0" applyAlignment="1" applyBorder="1" applyFont="1">
      <alignment horizontal="center" shrinkToFit="0" wrapText="1"/>
    </xf>
    <xf borderId="12" fillId="4" fontId="9" numFmtId="0" xfId="0" applyAlignment="1" applyBorder="1" applyFont="1">
      <alignment horizontal="center" shrinkToFit="0" wrapText="1"/>
    </xf>
    <xf borderId="13" fillId="3" fontId="8" numFmtId="0" xfId="0" applyAlignment="1" applyBorder="1" applyFont="1">
      <alignment shrinkToFit="0" wrapText="1"/>
    </xf>
    <xf borderId="9" fillId="3" fontId="7" numFmtId="0" xfId="0" applyAlignment="1" applyBorder="1" applyFont="1">
      <alignment shrinkToFit="0" wrapText="1"/>
    </xf>
    <xf borderId="9" fillId="3" fontId="8" numFmtId="0" xfId="0" applyAlignment="1" applyBorder="1" applyFont="1">
      <alignment horizontal="center" shrinkToFit="0" wrapText="1"/>
    </xf>
    <xf borderId="9" fillId="4" fontId="9" numFmtId="0" xfId="0" applyAlignment="1" applyBorder="1" applyFont="1">
      <alignment horizontal="center" shrinkToFit="0" wrapText="1"/>
    </xf>
    <xf borderId="9" fillId="3" fontId="7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shrinkToFit="0" vertical="center" wrapText="1"/>
    </xf>
    <xf borderId="15" fillId="0" fontId="4" numFmtId="49" xfId="0" applyAlignment="1" applyBorder="1" applyFont="1" applyNumberFormat="1">
      <alignment horizontal="right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4" fontId="10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10" fillId="0" fontId="1" numFmtId="49" xfId="0" applyAlignment="1" applyBorder="1" applyFont="1" applyNumberFormat="1">
      <alignment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top" wrapText="1"/>
    </xf>
    <xf borderId="9" fillId="4" fontId="6" numFmtId="0" xfId="0" applyAlignment="1" applyBorder="1" applyFont="1">
      <alignment horizontal="center" shrinkToFit="0" vertical="center" wrapText="1"/>
    </xf>
    <xf borderId="13" fillId="3" fontId="7" numFmtId="0" xfId="0" applyAlignment="1" applyBorder="1" applyFont="1">
      <alignment shrinkToFit="0" vertical="center" wrapText="1"/>
    </xf>
    <xf borderId="10" fillId="4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10" fillId="2" fontId="4" numFmtId="164" xfId="0" applyAlignment="1" applyBorder="1" applyFont="1" applyNumberFormat="1">
      <alignment horizontal="center" shrinkToFit="0" vertical="center" wrapText="1"/>
    </xf>
    <xf borderId="19" fillId="5" fontId="13" numFmtId="0" xfId="0" applyAlignment="1" applyBorder="1" applyFill="1" applyFont="1">
      <alignment shrinkToFit="0" vertical="center" wrapText="1"/>
    </xf>
    <xf borderId="10" fillId="2" fontId="1" numFmtId="164" xfId="0" applyAlignment="1" applyBorder="1" applyFont="1" applyNumberFormat="1">
      <alignment horizontal="center" vertical="center"/>
    </xf>
    <xf borderId="10" fillId="2" fontId="1" numFmtId="2" xfId="0" applyAlignment="1" applyBorder="1" applyFont="1" applyNumberFormat="1">
      <alignment horizontal="center" vertical="center"/>
    </xf>
    <xf borderId="10" fillId="3" fontId="8" numFmtId="164" xfId="0" applyAlignment="1" applyBorder="1" applyFont="1" applyNumberFormat="1">
      <alignment horizontal="center" readingOrder="0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0" fillId="2" fontId="4" numFmtId="164" xfId="0" applyAlignment="1" applyBorder="1" applyFont="1" applyNumberFormat="1">
      <alignment horizontal="center" vertical="center"/>
    </xf>
    <xf borderId="10" fillId="2" fontId="4" numFmtId="165" xfId="0" applyAlignment="1" applyBorder="1" applyFont="1" applyNumberFormat="1">
      <alignment horizontal="center" vertical="center"/>
    </xf>
    <xf borderId="10" fillId="3" fontId="8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10" fillId="3" fontId="14" numFmtId="9" xfId="0" applyAlignment="1" applyBorder="1" applyFont="1" applyNumberFormat="1">
      <alignment horizontal="center" shrinkToFit="0" vertical="center" wrapText="1"/>
    </xf>
    <xf borderId="10" fillId="2" fontId="1" numFmtId="0" xfId="0" applyAlignment="1" applyBorder="1" applyFont="1">
      <alignment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shrinkToFit="0" vertical="center" wrapText="1"/>
    </xf>
    <xf borderId="10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  <xf borderId="10" fillId="3" fontId="8" numFmtId="0" xfId="0" applyBorder="1" applyFont="1"/>
    <xf borderId="10" fillId="3" fontId="15" numFmtId="0" xfId="0" applyBorder="1" applyFont="1"/>
    <xf borderId="10" fillId="3" fontId="8" numFmtId="0" xfId="0" applyAlignment="1" applyBorder="1" applyFont="1">
      <alignment horizontal="center"/>
    </xf>
    <xf borderId="10" fillId="4" fontId="9" numFmtId="0" xfId="0" applyAlignment="1" applyBorder="1" applyFont="1">
      <alignment horizontal="center" shrinkToFit="0" wrapText="1"/>
    </xf>
    <xf borderId="20" fillId="3" fontId="15" numFmtId="0" xfId="0" applyBorder="1" applyFont="1"/>
    <xf borderId="20" fillId="3" fontId="8" numFmtId="0" xfId="0" applyAlignment="1" applyBorder="1" applyFont="1">
      <alignment horizontal="center"/>
    </xf>
    <xf borderId="11" fillId="3" fontId="8" numFmtId="0" xfId="0" applyAlignment="1" applyBorder="1" applyFont="1">
      <alignment shrinkToFit="0" vertical="bottom" wrapText="1"/>
    </xf>
    <xf borderId="12" fillId="3" fontId="15" numFmtId="0" xfId="0" applyAlignment="1" applyBorder="1" applyFont="1">
      <alignment vertical="bottom"/>
    </xf>
    <xf borderId="12" fillId="3" fontId="8" numFmtId="0" xfId="0" applyAlignment="1" applyBorder="1" applyFont="1">
      <alignment horizontal="center" shrinkToFit="0" vertical="bottom" wrapText="1"/>
    </xf>
    <xf borderId="12" fillId="4" fontId="9" numFmtId="0" xfId="0" applyAlignment="1" applyBorder="1" applyFont="1">
      <alignment horizontal="center" shrinkToFit="0" vertical="bottom" wrapText="1"/>
    </xf>
    <xf borderId="13" fillId="3" fontId="8" numFmtId="0" xfId="0" applyAlignment="1" applyBorder="1" applyFont="1">
      <alignment shrinkToFit="0" vertical="bottom" wrapText="1"/>
    </xf>
    <xf borderId="9" fillId="3" fontId="15" numFmtId="0" xfId="0" applyAlignment="1" applyBorder="1" applyFont="1">
      <alignment vertical="bottom"/>
    </xf>
    <xf borderId="9" fillId="3" fontId="8" numFmtId="0" xfId="0" applyAlignment="1" applyBorder="1" applyFont="1">
      <alignment horizontal="center" shrinkToFit="0" vertical="bottom" wrapText="1"/>
    </xf>
    <xf borderId="9" fillId="4" fontId="9" numFmtId="0" xfId="0" applyAlignment="1" applyBorder="1" applyFont="1">
      <alignment horizontal="center" shrinkToFit="0" vertical="bottom" wrapText="1"/>
    </xf>
    <xf borderId="13" fillId="3" fontId="8" numFmtId="0" xfId="0" applyAlignment="1" applyBorder="1" applyFont="1">
      <alignment readingOrder="0" shrinkToFit="0" wrapText="1"/>
    </xf>
    <xf borderId="9" fillId="3" fontId="8" numFmtId="0" xfId="0" applyAlignment="1" applyBorder="1" applyFont="1">
      <alignment horizontal="center" readingOrder="0" shrinkToFit="0" wrapText="1"/>
    </xf>
    <xf borderId="9" fillId="4" fontId="9" numFmtId="0" xfId="0" applyAlignment="1" applyBorder="1" applyFont="1">
      <alignment horizontal="center" readingOrder="0" shrinkToFit="0" wrapText="1"/>
    </xf>
    <xf borderId="0" fillId="6" fontId="1" numFmtId="0" xfId="0" applyAlignment="1" applyFill="1" applyFont="1">
      <alignment readingOrder="0" shrinkToFit="0" vertical="center" wrapText="1"/>
    </xf>
    <xf borderId="10" fillId="3" fontId="8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left" vertical="center"/>
    </xf>
    <xf borderId="22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 vertical="center"/>
    </xf>
    <xf borderId="16" fillId="0" fontId="1" numFmtId="0" xfId="0" applyAlignment="1" applyBorder="1" applyFont="1">
      <alignment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0" fillId="0" fontId="1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/>
      <c r="C16" s="40"/>
      <c r="D16" s="41"/>
      <c r="E16" s="42"/>
      <c r="F16" s="42"/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43" t="s">
        <v>25</v>
      </c>
      <c r="C17" s="44"/>
      <c r="D17" s="45">
        <v>6.0</v>
      </c>
      <c r="E17" s="46" t="s">
        <v>26</v>
      </c>
      <c r="F17" s="46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43" t="s">
        <v>27</v>
      </c>
      <c r="C18" s="44"/>
      <c r="D18" s="45">
        <v>8.0</v>
      </c>
      <c r="E18" s="46" t="s">
        <v>13</v>
      </c>
      <c r="F18" s="46">
        <v>15.0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43"/>
      <c r="C19" s="44"/>
      <c r="D19" s="45"/>
      <c r="E19" s="46"/>
      <c r="F19" s="46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43"/>
      <c r="C20" s="44"/>
      <c r="D20" s="45"/>
      <c r="E20" s="46"/>
      <c r="F20" s="46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43"/>
      <c r="C21" s="44"/>
      <c r="D21" s="45"/>
      <c r="E21" s="46"/>
      <c r="F21" s="46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43" t="s">
        <v>28</v>
      </c>
      <c r="C22" s="44"/>
      <c r="D22" s="45">
        <v>3.0</v>
      </c>
      <c r="E22" s="46" t="s">
        <v>29</v>
      </c>
      <c r="F22" s="46">
        <v>5.0</v>
      </c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43" t="s">
        <v>30</v>
      </c>
      <c r="C23" s="44"/>
      <c r="D23" s="45">
        <v>3.0</v>
      </c>
      <c r="E23" s="46" t="s">
        <v>29</v>
      </c>
      <c r="F23" s="46">
        <v>5.0</v>
      </c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43" t="s">
        <v>31</v>
      </c>
      <c r="C24" s="44"/>
      <c r="D24" s="45">
        <v>4.0</v>
      </c>
      <c r="E24" s="46" t="s">
        <v>26</v>
      </c>
      <c r="F24" s="46">
        <v>10.0</v>
      </c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3" t="s">
        <v>32</v>
      </c>
      <c r="C25" s="44"/>
      <c r="D25" s="45">
        <v>3.0</v>
      </c>
      <c r="E25" s="46" t="s">
        <v>29</v>
      </c>
      <c r="F25" s="46">
        <v>5.0</v>
      </c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27"/>
      <c r="C26" s="47"/>
      <c r="D26" s="30"/>
      <c r="E26" s="29"/>
      <c r="F26" s="29"/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7"/>
      <c r="C27" s="47"/>
      <c r="D27" s="30"/>
      <c r="E27" s="29"/>
      <c r="F27" s="29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27"/>
      <c r="C28" s="47"/>
      <c r="D28" s="30"/>
      <c r="E28" s="29"/>
      <c r="F28" s="29"/>
      <c r="G28" s="1"/>
      <c r="H28" s="1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38"/>
      <c r="U28" s="1"/>
      <c r="V28" s="1"/>
      <c r="W28" s="1"/>
      <c r="X28" s="1"/>
      <c r="Y28" s="1"/>
      <c r="Z28" s="1"/>
    </row>
    <row r="29" ht="27.75" customHeight="1">
      <c r="A29" s="1"/>
      <c r="B29" s="48"/>
      <c r="C29" s="49" t="s">
        <v>33</v>
      </c>
      <c r="D29" s="50"/>
      <c r="E29" s="51"/>
      <c r="F29" s="52">
        <f>SUM(F16:F28)</f>
        <v>50</v>
      </c>
      <c r="G29" s="1"/>
      <c r="H29" s="20"/>
      <c r="I29" s="1"/>
      <c r="J29" s="1"/>
      <c r="K29" s="3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20" t="s">
        <v>34</v>
      </c>
      <c r="B32" s="53"/>
      <c r="C32" s="32" t="s">
        <v>35</v>
      </c>
      <c r="D32" s="6"/>
      <c r="E32" s="7"/>
      <c r="F32" s="33">
        <f>G12+F29</f>
        <v>53</v>
      </c>
      <c r="G32" s="1"/>
      <c r="H32" s="2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3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20" t="s">
        <v>36</v>
      </c>
      <c r="B35" s="22" t="s">
        <v>37</v>
      </c>
      <c r="C35" s="22" t="s">
        <v>38</v>
      </c>
      <c r="D35" s="21" t="s">
        <v>39</v>
      </c>
      <c r="E35" s="21" t="s">
        <v>9</v>
      </c>
      <c r="F35" s="21" t="s">
        <v>40</v>
      </c>
      <c r="G35" s="21" t="s">
        <v>41</v>
      </c>
      <c r="H35" s="1" t="s">
        <v>42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75" customHeight="1">
      <c r="A36" s="1"/>
      <c r="B36" s="54" t="s">
        <v>43</v>
      </c>
      <c r="C36" s="54" t="s">
        <v>44</v>
      </c>
      <c r="D36" s="23" t="s">
        <v>45</v>
      </c>
      <c r="E36" s="55">
        <v>2.0</v>
      </c>
      <c r="F36" s="26">
        <v>0.0</v>
      </c>
      <c r="G36" s="55">
        <v>0.0</v>
      </c>
      <c r="H36" s="56" t="s">
        <v>46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4" t="s">
        <v>47</v>
      </c>
      <c r="C37" s="54" t="s">
        <v>44</v>
      </c>
      <c r="D37" s="27" t="s">
        <v>48</v>
      </c>
      <c r="E37" s="57">
        <v>2.0</v>
      </c>
      <c r="F37" s="30">
        <v>5.0</v>
      </c>
      <c r="G37" s="57">
        <v>10.0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4" t="s">
        <v>49</v>
      </c>
      <c r="C38" s="54" t="s">
        <v>44</v>
      </c>
      <c r="D38" s="58"/>
      <c r="E38" s="57">
        <v>1.0</v>
      </c>
      <c r="F38" s="30">
        <v>4.0</v>
      </c>
      <c r="G38" s="57">
        <v>4.0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4" t="s">
        <v>50</v>
      </c>
      <c r="C39" s="54" t="s">
        <v>44</v>
      </c>
      <c r="D39" s="27" t="s">
        <v>51</v>
      </c>
      <c r="E39" s="57">
        <v>1.0</v>
      </c>
      <c r="F39" s="30">
        <v>4.0</v>
      </c>
      <c r="G39" s="57">
        <v>4.0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4" t="s">
        <v>52</v>
      </c>
      <c r="C40" s="54" t="s">
        <v>44</v>
      </c>
      <c r="D40" s="27" t="s">
        <v>53</v>
      </c>
      <c r="E40" s="57">
        <v>1.0</v>
      </c>
      <c r="F40" s="30">
        <v>0.0</v>
      </c>
      <c r="G40" s="57">
        <v>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4" t="s">
        <v>54</v>
      </c>
      <c r="C41" s="54" t="s">
        <v>44</v>
      </c>
      <c r="D41" s="27" t="s">
        <v>55</v>
      </c>
      <c r="E41" s="57">
        <v>0.5</v>
      </c>
      <c r="F41" s="30">
        <v>5.0</v>
      </c>
      <c r="G41" s="57">
        <v>2.5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4" t="s">
        <v>56</v>
      </c>
      <c r="C42" s="54" t="s">
        <v>44</v>
      </c>
      <c r="D42" s="27" t="s">
        <v>57</v>
      </c>
      <c r="E42" s="57">
        <v>0.5</v>
      </c>
      <c r="F42" s="30">
        <v>5.0</v>
      </c>
      <c r="G42" s="57">
        <v>2.5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4" t="s">
        <v>58</v>
      </c>
      <c r="C43" s="54" t="s">
        <v>44</v>
      </c>
      <c r="D43" s="27" t="s">
        <v>59</v>
      </c>
      <c r="E43" s="57">
        <v>2.0</v>
      </c>
      <c r="F43" s="30">
        <v>3.0</v>
      </c>
      <c r="G43" s="57">
        <v>6.0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4" t="s">
        <v>60</v>
      </c>
      <c r="C44" s="54" t="s">
        <v>44</v>
      </c>
      <c r="D44" s="27" t="s">
        <v>61</v>
      </c>
      <c r="E44" s="57">
        <v>1.0</v>
      </c>
      <c r="F44" s="30">
        <v>1.0</v>
      </c>
      <c r="G44" s="57">
        <v>1.0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54" t="s">
        <v>62</v>
      </c>
      <c r="C45" s="54" t="s">
        <v>44</v>
      </c>
      <c r="D45" s="27" t="s">
        <v>63</v>
      </c>
      <c r="E45" s="57">
        <v>1.0</v>
      </c>
      <c r="F45" s="30">
        <v>5.0</v>
      </c>
      <c r="G45" s="57">
        <v>5.0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4" t="s">
        <v>64</v>
      </c>
      <c r="C46" s="54" t="s">
        <v>44</v>
      </c>
      <c r="D46" s="27" t="s">
        <v>65</v>
      </c>
      <c r="E46" s="57">
        <v>1.0</v>
      </c>
      <c r="F46" s="30">
        <v>5.0</v>
      </c>
      <c r="G46" s="57">
        <v>5.0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4" t="s">
        <v>66</v>
      </c>
      <c r="C47" s="54" t="s">
        <v>44</v>
      </c>
      <c r="D47" s="27" t="s">
        <v>67</v>
      </c>
      <c r="E47" s="57">
        <v>1.0</v>
      </c>
      <c r="F47" s="30">
        <v>4.0</v>
      </c>
      <c r="G47" s="57">
        <v>4.0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4" t="s">
        <v>68</v>
      </c>
      <c r="C48" s="54" t="s">
        <v>44</v>
      </c>
      <c r="D48" s="27" t="s">
        <v>69</v>
      </c>
      <c r="E48" s="57">
        <v>1.0</v>
      </c>
      <c r="F48" s="30">
        <v>3.0</v>
      </c>
      <c r="G48" s="57">
        <v>3.0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32" t="s">
        <v>70</v>
      </c>
      <c r="C49" s="6"/>
      <c r="D49" s="6"/>
      <c r="E49" s="6"/>
      <c r="F49" s="7"/>
      <c r="G49" s="59">
        <f>SUM(G36:G48)</f>
        <v>47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32" t="s">
        <v>71</v>
      </c>
      <c r="C50" s="6"/>
      <c r="D50" s="6"/>
      <c r="E50" s="6"/>
      <c r="F50" s="7"/>
      <c r="G50" s="52">
        <f>0.6+(0.01*G49)</f>
        <v>1.07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34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60"/>
      <c r="C52" s="60"/>
      <c r="D52" s="61"/>
      <c r="E52" s="60"/>
      <c r="F52" s="60"/>
      <c r="G52" s="6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0" t="s">
        <v>72</v>
      </c>
      <c r="B53" s="22" t="s">
        <v>73</v>
      </c>
      <c r="C53" s="22" t="s">
        <v>74</v>
      </c>
      <c r="D53" s="21" t="s">
        <v>75</v>
      </c>
      <c r="E53" s="21" t="s">
        <v>9</v>
      </c>
      <c r="F53" s="21" t="s">
        <v>40</v>
      </c>
      <c r="G53" s="21" t="s">
        <v>41</v>
      </c>
      <c r="H53" s="1" t="s">
        <v>76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1"/>
      <c r="B54" s="62" t="s">
        <v>77</v>
      </c>
      <c r="C54" s="54" t="s">
        <v>78</v>
      </c>
      <c r="D54" s="23" t="s">
        <v>79</v>
      </c>
      <c r="E54" s="55" t="s">
        <v>80</v>
      </c>
      <c r="F54" s="26">
        <v>3.0</v>
      </c>
      <c r="G54" s="55" t="s">
        <v>81</v>
      </c>
      <c r="H54" s="56" t="s">
        <v>46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2" t="s">
        <v>82</v>
      </c>
      <c r="C55" s="54" t="s">
        <v>78</v>
      </c>
      <c r="D55" s="27" t="s">
        <v>83</v>
      </c>
      <c r="E55" s="57" t="s">
        <v>84</v>
      </c>
      <c r="F55" s="30">
        <v>4.0</v>
      </c>
      <c r="G55" s="57">
        <v>2.0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2" t="s">
        <v>85</v>
      </c>
      <c r="C56" s="54" t="s">
        <v>78</v>
      </c>
      <c r="D56" s="27" t="s">
        <v>86</v>
      </c>
      <c r="E56" s="57">
        <v>1.0</v>
      </c>
      <c r="F56" s="30">
        <v>4.0</v>
      </c>
      <c r="G56" s="57">
        <v>4.0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2" t="s">
        <v>87</v>
      </c>
      <c r="C57" s="54" t="s">
        <v>78</v>
      </c>
      <c r="D57" s="27" t="s">
        <v>88</v>
      </c>
      <c r="E57" s="57" t="s">
        <v>84</v>
      </c>
      <c r="F57" s="30">
        <v>3.0</v>
      </c>
      <c r="G57" s="57" t="s">
        <v>80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62" t="s">
        <v>89</v>
      </c>
      <c r="C58" s="54" t="s">
        <v>90</v>
      </c>
      <c r="D58" s="27" t="s">
        <v>91</v>
      </c>
      <c r="E58" s="57">
        <v>1.0</v>
      </c>
      <c r="F58" s="30">
        <v>4.0</v>
      </c>
      <c r="G58" s="57">
        <v>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2" t="s">
        <v>92</v>
      </c>
      <c r="C59" s="54" t="s">
        <v>93</v>
      </c>
      <c r="D59" s="27" t="s">
        <v>94</v>
      </c>
      <c r="E59" s="57">
        <v>2.0</v>
      </c>
      <c r="F59" s="30">
        <v>2.0</v>
      </c>
      <c r="G59" s="57">
        <v>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2" t="s">
        <v>95</v>
      </c>
      <c r="C60" s="54" t="s">
        <v>96</v>
      </c>
      <c r="D60" s="27" t="s">
        <v>97</v>
      </c>
      <c r="E60" s="57">
        <v>-1.0</v>
      </c>
      <c r="F60" s="30">
        <v>4.0</v>
      </c>
      <c r="G60" s="57">
        <v>-4.0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2" t="s">
        <v>98</v>
      </c>
      <c r="C61" s="54" t="s">
        <v>99</v>
      </c>
      <c r="D61" s="27" t="s">
        <v>100</v>
      </c>
      <c r="E61" s="57">
        <v>-1.0</v>
      </c>
      <c r="F61" s="30">
        <v>4.0</v>
      </c>
      <c r="G61" s="57">
        <v>-4.0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2" t="s">
        <v>101</v>
      </c>
      <c r="C62" s="6"/>
      <c r="D62" s="6"/>
      <c r="E62" s="6"/>
      <c r="F62" s="7"/>
      <c r="G62" s="21">
        <f>SUM(G54:G61)</f>
        <v>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32" t="s">
        <v>102</v>
      </c>
      <c r="C63" s="6"/>
      <c r="D63" s="6"/>
      <c r="E63" s="6"/>
      <c r="F63" s="7"/>
      <c r="G63" s="21">
        <f>1.4 + (-0.03*G62)</f>
        <v>1.22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32"/>
      <c r="C64" s="63"/>
      <c r="D64" s="64"/>
      <c r="E64" s="63"/>
      <c r="F64" s="65" t="s">
        <v>103</v>
      </c>
      <c r="G64" s="21">
        <f>COUNTIF($F$54:$F$59,"&lt;3")+COUNTIF($F$60:$F$61,"&gt;3")</f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34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20" t="s">
        <v>104</v>
      </c>
      <c r="B67" s="66" t="s">
        <v>105</v>
      </c>
      <c r="C67" s="6"/>
      <c r="D67" s="6"/>
      <c r="E67" s="6"/>
      <c r="F67" s="7"/>
      <c r="G67" s="67">
        <f>F32*G50*G63</f>
        <v>69.1862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68" t="s">
        <v>106</v>
      </c>
      <c r="B70" s="22" t="s">
        <v>107</v>
      </c>
      <c r="C70" s="22" t="s">
        <v>108</v>
      </c>
      <c r="D70" s="22" t="s">
        <v>109</v>
      </c>
      <c r="E70" s="3"/>
      <c r="F70" s="1"/>
      <c r="G70" s="22" t="s">
        <v>110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69">
        <v>20.0</v>
      </c>
      <c r="C71" s="69">
        <f>IF($G$64&gt;=5,36,IF(AND(G$64&gt;2,$G$64&lt;=4),28, IF(AND($G$64&gt;=0,$G$64&lt;=2),20,"error")))</f>
        <v>28</v>
      </c>
      <c r="D71" s="70">
        <f>IF($G$64&gt;=5,$G$71*(36/20),IF(AND($G$64&gt;2,$G$64&lt;=4),$G$71*(28/20), IF(AND($G$64&gt;=0,$G$64&lt;=2),$G$71,"error")))</f>
        <v>2.8</v>
      </c>
      <c r="E71" s="3"/>
      <c r="F71" s="1"/>
      <c r="G71" s="71">
        <v>2.0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72" t="s">
        <v>111</v>
      </c>
      <c r="C72" s="6"/>
      <c r="D72" s="7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73" t="s">
        <v>112</v>
      </c>
      <c r="B73" s="69">
        <f t="shared" ref="B73:D73" si="1">$G$67*B71</f>
        <v>1383.724</v>
      </c>
      <c r="C73" s="69">
        <f t="shared" si="1"/>
        <v>1937.2136</v>
      </c>
      <c r="D73" s="69">
        <f t="shared" si="1"/>
        <v>193.72136</v>
      </c>
      <c r="E73" s="3"/>
      <c r="F73" s="1"/>
      <c r="G73" s="22" t="s">
        <v>113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73" t="s">
        <v>114</v>
      </c>
      <c r="B74" s="74">
        <f>B73/(22*G74)</f>
        <v>31.44827273</v>
      </c>
      <c r="C74" s="74">
        <f>C73/(22*G74)</f>
        <v>44.02758182</v>
      </c>
      <c r="D74" s="75">
        <f>D73/(22*G74)</f>
        <v>4.402758182</v>
      </c>
      <c r="E74" s="3"/>
      <c r="F74" s="1"/>
      <c r="G74" s="76">
        <v>2.0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20" t="s">
        <v>115</v>
      </c>
      <c r="B77" s="77" t="s">
        <v>116</v>
      </c>
      <c r="C77" s="78"/>
      <c r="D77" s="64"/>
      <c r="E77" s="63"/>
      <c r="F77" s="7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53" t="s">
        <v>117</v>
      </c>
      <c r="C78" s="21" t="s">
        <v>118</v>
      </c>
      <c r="D78" s="67" t="s">
        <v>119</v>
      </c>
      <c r="E78" s="67" t="s">
        <v>120</v>
      </c>
      <c r="F78" s="67" t="s">
        <v>121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80" t="s">
        <v>122</v>
      </c>
      <c r="C79" s="81">
        <v>0.4</v>
      </c>
      <c r="D79" s="74">
        <f t="shared" ref="D79:F79" si="2">+B73</f>
        <v>1383.724</v>
      </c>
      <c r="E79" s="74">
        <f t="shared" si="2"/>
        <v>1937.2136</v>
      </c>
      <c r="F79" s="74">
        <f t="shared" si="2"/>
        <v>193.72136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80" t="s">
        <v>123</v>
      </c>
      <c r="C80" s="81">
        <f>1-C79</f>
        <v>0.6</v>
      </c>
      <c r="D80" s="69">
        <f t="shared" ref="D80:F80" si="3">+D79*1.5</f>
        <v>2075.586</v>
      </c>
      <c r="E80" s="69">
        <f t="shared" si="3"/>
        <v>2905.8204</v>
      </c>
      <c r="F80" s="69">
        <f t="shared" si="3"/>
        <v>290.58204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82"/>
      <c r="C81" s="81">
        <f>SUM(C79:C80)</f>
        <v>1</v>
      </c>
      <c r="D81" s="74">
        <f t="shared" ref="D81:F81" si="4">+D79+D80</f>
        <v>3459.31</v>
      </c>
      <c r="E81" s="74">
        <f t="shared" si="4"/>
        <v>4843.034</v>
      </c>
      <c r="F81" s="74">
        <f t="shared" si="4"/>
        <v>484.3034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20" t="s">
        <v>124</v>
      </c>
      <c r="B83" s="77" t="s">
        <v>125</v>
      </c>
      <c r="C83" s="78"/>
      <c r="D83" s="64"/>
      <c r="E83" s="63"/>
      <c r="F83" s="7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53" t="s">
        <v>117</v>
      </c>
      <c r="C84" s="21" t="s">
        <v>118</v>
      </c>
      <c r="D84" s="67" t="s">
        <v>126</v>
      </c>
      <c r="E84" s="67" t="s">
        <v>127</v>
      </c>
      <c r="F84" s="67" t="s">
        <v>128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80" t="s">
        <v>122</v>
      </c>
      <c r="C85" s="81">
        <v>0.4</v>
      </c>
      <c r="D85" s="74">
        <f t="shared" ref="D85:F85" si="5">$C85/$C$85*B$74</f>
        <v>31.44827273</v>
      </c>
      <c r="E85" s="74">
        <f t="shared" si="5"/>
        <v>44.02758182</v>
      </c>
      <c r="F85" s="74">
        <f t="shared" si="5"/>
        <v>4.402758182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80" t="s">
        <v>123</v>
      </c>
      <c r="C86" s="81">
        <f>1-C85</f>
        <v>0.6</v>
      </c>
      <c r="D86" s="69">
        <f t="shared" ref="D86:F86" si="6">$C86/$C$85*B$74</f>
        <v>47.17240909</v>
      </c>
      <c r="E86" s="69">
        <f t="shared" si="6"/>
        <v>66.04137273</v>
      </c>
      <c r="F86" s="69">
        <f t="shared" si="6"/>
        <v>6.604137273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82"/>
      <c r="C87" s="81">
        <f>SUM(C85:C86)</f>
        <v>1</v>
      </c>
      <c r="D87" s="74">
        <f t="shared" ref="D87:F87" si="7">$C87/$C$85*B$74</f>
        <v>78.62068182</v>
      </c>
      <c r="E87" s="74">
        <f t="shared" si="7"/>
        <v>110.0689545</v>
      </c>
      <c r="F87" s="74">
        <f t="shared" si="7"/>
        <v>11.00689545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20" t="s">
        <v>129</v>
      </c>
      <c r="B89" s="83">
        <v>5.0</v>
      </c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20" t="s">
        <v>130</v>
      </c>
      <c r="B91" s="67" t="s">
        <v>131</v>
      </c>
      <c r="C91" s="67" t="s">
        <v>132</v>
      </c>
      <c r="D91" s="67" t="s">
        <v>133</v>
      </c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84"/>
      <c r="B92" s="85">
        <f>$D$87/$B$89</f>
        <v>15.72413636</v>
      </c>
      <c r="C92" s="85">
        <f>$E$87/$B$89</f>
        <v>22.01379091</v>
      </c>
      <c r="D92" s="85">
        <f>$F$87/$B$89</f>
        <v>2.201379091</v>
      </c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84"/>
      <c r="B93" s="84"/>
      <c r="C93" s="84"/>
      <c r="D93" s="84"/>
      <c r="E93" s="86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84"/>
      <c r="B94" s="84"/>
      <c r="C94" s="84"/>
      <c r="D94" s="84"/>
      <c r="E94" s="86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84"/>
      <c r="B95" s="84"/>
      <c r="C95" s="84"/>
      <c r="D95" s="84"/>
      <c r="E95" s="86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84"/>
      <c r="B96" s="84"/>
      <c r="C96" s="84"/>
      <c r="D96" s="84"/>
      <c r="E96" s="86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84"/>
      <c r="B97" s="84"/>
      <c r="C97" s="84"/>
      <c r="D97" s="84"/>
      <c r="E97" s="86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84"/>
      <c r="B98" s="84"/>
      <c r="C98" s="84"/>
      <c r="D98" s="84"/>
      <c r="E98" s="86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84"/>
      <c r="B99" s="84"/>
      <c r="C99" s="84"/>
      <c r="D99" s="84"/>
      <c r="E99" s="86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84"/>
      <c r="B100" s="84"/>
      <c r="C100" s="84"/>
      <c r="D100" s="84"/>
      <c r="E100" s="86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84"/>
      <c r="B101" s="84"/>
      <c r="C101" s="84"/>
      <c r="D101" s="84"/>
      <c r="E101" s="86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84"/>
      <c r="B102" s="84"/>
      <c r="C102" s="84"/>
      <c r="D102" s="84"/>
      <c r="E102" s="86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84"/>
      <c r="B103" s="84"/>
      <c r="C103" s="84"/>
      <c r="D103" s="84"/>
      <c r="E103" s="86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84"/>
      <c r="B104" s="84"/>
      <c r="C104" s="84"/>
      <c r="D104" s="84"/>
      <c r="E104" s="86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84"/>
      <c r="B105" s="84"/>
      <c r="C105" s="84"/>
      <c r="D105" s="84"/>
      <c r="E105" s="86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5.75" customHeight="1">
      <c r="A106" s="84"/>
      <c r="B106" s="84"/>
      <c r="C106" s="84"/>
      <c r="D106" s="84"/>
      <c r="E106" s="86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15.75" customHeight="1">
      <c r="A107" s="84"/>
      <c r="B107" s="84"/>
      <c r="C107" s="84"/>
      <c r="D107" s="84"/>
      <c r="E107" s="86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15.75" customHeight="1">
      <c r="A108" s="84"/>
      <c r="B108" s="84"/>
      <c r="C108" s="84"/>
      <c r="D108" s="84"/>
      <c r="E108" s="86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10">
    <mergeCell ref="B63:F63"/>
    <mergeCell ref="B67:F67"/>
    <mergeCell ref="B72:D72"/>
    <mergeCell ref="B2:G2"/>
    <mergeCell ref="C12:F12"/>
    <mergeCell ref="C29:E29"/>
    <mergeCell ref="C32:E32"/>
    <mergeCell ref="B49:F49"/>
    <mergeCell ref="B50:F50"/>
    <mergeCell ref="B62:F62"/>
  </mergeCells>
  <dataValidations>
    <dataValidation type="decimal" allowBlank="1" showInputMessage="1" showErrorMessage="1" prompt="Entre 1 y 9 personas." sqref="B89">
      <formula1>1.0</formula1>
      <formula2>9.0</formula2>
    </dataValidation>
  </dataValidations>
  <hyperlinks>
    <hyperlink r:id="rId2" location="v=onepage&amp;q=e7%20part-time%20members&amp;f=false" ref="H36"/>
    <hyperlink r:id="rId3" location="v=onepage&amp;q=e7%20part-time%20members&amp;f=false" ref="H54"/>
  </hyperlinks>
  <printOptions/>
  <pageMargins bottom="1.0" footer="0.0" header="0.0" left="0.75" right="0.75" top="1.0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87" t="s">
        <v>134</v>
      </c>
      <c r="C16" s="88"/>
      <c r="D16" s="89">
        <v>2.0</v>
      </c>
      <c r="E16" s="90" t="s">
        <v>29</v>
      </c>
      <c r="F16" s="90">
        <v>5.0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87" t="s">
        <v>135</v>
      </c>
      <c r="C17" s="91"/>
      <c r="D17" s="92">
        <v>10.0</v>
      </c>
      <c r="E17" s="90" t="s">
        <v>13</v>
      </c>
      <c r="F17" s="90">
        <v>15.0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87" t="s">
        <v>136</v>
      </c>
      <c r="C18" s="91"/>
      <c r="D18" s="92">
        <v>4.0</v>
      </c>
      <c r="E18" s="90" t="s">
        <v>26</v>
      </c>
      <c r="F18" s="90">
        <v>10.0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93" t="s">
        <v>137</v>
      </c>
      <c r="C19" s="94"/>
      <c r="D19" s="95">
        <v>3.0</v>
      </c>
      <c r="E19" s="96" t="s">
        <v>29</v>
      </c>
      <c r="F19" s="96">
        <v>5.0</v>
      </c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97" t="s">
        <v>138</v>
      </c>
      <c r="C20" s="98"/>
      <c r="D20" s="99">
        <v>3.0</v>
      </c>
      <c r="E20" s="100" t="s">
        <v>29</v>
      </c>
      <c r="F20" s="100">
        <v>5.0</v>
      </c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101" t="s">
        <v>139</v>
      </c>
      <c r="C21" s="44"/>
      <c r="D21" s="102">
        <v>4.0</v>
      </c>
      <c r="E21" s="103" t="s">
        <v>26</v>
      </c>
      <c r="F21" s="103">
        <v>10.0</v>
      </c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43"/>
      <c r="C22" s="44"/>
      <c r="D22" s="45"/>
      <c r="E22" s="46"/>
      <c r="F22" s="46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43"/>
      <c r="C23" s="44"/>
      <c r="D23" s="45"/>
      <c r="E23" s="46"/>
      <c r="F23" s="46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43"/>
      <c r="C24" s="44"/>
      <c r="D24" s="45"/>
      <c r="E24" s="46"/>
      <c r="F24" s="46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3"/>
      <c r="C25" s="44"/>
      <c r="D25" s="45"/>
      <c r="E25" s="46"/>
      <c r="F25" s="46"/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27"/>
      <c r="C26" s="47"/>
      <c r="D26" s="30"/>
      <c r="E26" s="29"/>
      <c r="F26" s="29"/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7"/>
      <c r="C27" s="47"/>
      <c r="D27" s="30"/>
      <c r="E27" s="29"/>
      <c r="F27" s="29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27"/>
      <c r="C28" s="47"/>
      <c r="D28" s="30"/>
      <c r="E28" s="29"/>
      <c r="F28" s="29"/>
      <c r="G28" s="1"/>
      <c r="H28" s="1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38"/>
      <c r="U28" s="1"/>
      <c r="V28" s="1"/>
      <c r="W28" s="1"/>
      <c r="X28" s="1"/>
      <c r="Y28" s="1"/>
      <c r="Z28" s="1"/>
    </row>
    <row r="29" ht="27.75" customHeight="1">
      <c r="A29" s="1"/>
      <c r="B29" s="48"/>
      <c r="C29" s="49" t="s">
        <v>33</v>
      </c>
      <c r="D29" s="50"/>
      <c r="E29" s="51"/>
      <c r="F29" s="52">
        <f>SUM(F16:F28)</f>
        <v>50</v>
      </c>
      <c r="G29" s="1"/>
      <c r="H29" s="20"/>
      <c r="I29" s="1"/>
      <c r="J29" s="1"/>
      <c r="K29" s="3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20" t="s">
        <v>34</v>
      </c>
      <c r="B32" s="53"/>
      <c r="C32" s="32" t="s">
        <v>140</v>
      </c>
      <c r="D32" s="6"/>
      <c r="E32" s="7"/>
      <c r="F32" s="33">
        <f>G12+F29</f>
        <v>53</v>
      </c>
      <c r="G32" s="1"/>
      <c r="H32" s="2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3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20" t="s">
        <v>36</v>
      </c>
      <c r="B35" s="22" t="s">
        <v>37</v>
      </c>
      <c r="C35" s="22" t="s">
        <v>38</v>
      </c>
      <c r="D35" s="21" t="s">
        <v>39</v>
      </c>
      <c r="E35" s="21" t="s">
        <v>9</v>
      </c>
      <c r="F35" s="21" t="s">
        <v>40</v>
      </c>
      <c r="G35" s="21" t="s">
        <v>41</v>
      </c>
      <c r="H35" s="1" t="s">
        <v>42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75" customHeight="1">
      <c r="A36" s="1"/>
      <c r="B36" s="54" t="s">
        <v>43</v>
      </c>
      <c r="C36" s="54" t="s">
        <v>44</v>
      </c>
      <c r="D36" s="23" t="s">
        <v>45</v>
      </c>
      <c r="E36" s="55">
        <v>2.0</v>
      </c>
      <c r="F36" s="26">
        <v>0.0</v>
      </c>
      <c r="G36" s="55">
        <v>0.0</v>
      </c>
      <c r="H36" s="56" t="s">
        <v>46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4" t="s">
        <v>47</v>
      </c>
      <c r="C37" s="54" t="s">
        <v>44</v>
      </c>
      <c r="D37" s="27" t="s">
        <v>48</v>
      </c>
      <c r="E37" s="57">
        <v>2.0</v>
      </c>
      <c r="F37" s="30">
        <v>5.0</v>
      </c>
      <c r="G37" s="57">
        <v>10.0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4" t="s">
        <v>49</v>
      </c>
      <c r="C38" s="54" t="s">
        <v>44</v>
      </c>
      <c r="D38" s="58"/>
      <c r="E38" s="57">
        <v>1.0</v>
      </c>
      <c r="F38" s="30">
        <v>4.0</v>
      </c>
      <c r="G38" s="57">
        <v>4.0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4" t="s">
        <v>50</v>
      </c>
      <c r="C39" s="54" t="s">
        <v>44</v>
      </c>
      <c r="D39" s="27" t="s">
        <v>51</v>
      </c>
      <c r="E39" s="57">
        <v>1.0</v>
      </c>
      <c r="F39" s="30">
        <v>4.0</v>
      </c>
      <c r="G39" s="57">
        <v>4.0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4" t="s">
        <v>52</v>
      </c>
      <c r="C40" s="54" t="s">
        <v>44</v>
      </c>
      <c r="D40" s="27" t="s">
        <v>53</v>
      </c>
      <c r="E40" s="57">
        <v>1.0</v>
      </c>
      <c r="F40" s="30">
        <v>0.0</v>
      </c>
      <c r="G40" s="57">
        <v>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4" t="s">
        <v>54</v>
      </c>
      <c r="C41" s="54" t="s">
        <v>44</v>
      </c>
      <c r="D41" s="27" t="s">
        <v>55</v>
      </c>
      <c r="E41" s="57">
        <v>0.5</v>
      </c>
      <c r="F41" s="30">
        <v>5.0</v>
      </c>
      <c r="G41" s="57">
        <v>2.5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4" t="s">
        <v>56</v>
      </c>
      <c r="C42" s="54" t="s">
        <v>44</v>
      </c>
      <c r="D42" s="27" t="s">
        <v>57</v>
      </c>
      <c r="E42" s="57">
        <v>0.5</v>
      </c>
      <c r="F42" s="30">
        <v>5.0</v>
      </c>
      <c r="G42" s="57">
        <v>2.5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4" t="s">
        <v>58</v>
      </c>
      <c r="C43" s="54" t="s">
        <v>44</v>
      </c>
      <c r="D43" s="27" t="s">
        <v>59</v>
      </c>
      <c r="E43" s="57">
        <v>2.0</v>
      </c>
      <c r="F43" s="30">
        <v>3.0</v>
      </c>
      <c r="G43" s="57">
        <v>6.0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4" t="s">
        <v>60</v>
      </c>
      <c r="C44" s="54" t="s">
        <v>44</v>
      </c>
      <c r="D44" s="27" t="s">
        <v>61</v>
      </c>
      <c r="E44" s="57">
        <v>1.0</v>
      </c>
      <c r="F44" s="30">
        <v>1.0</v>
      </c>
      <c r="G44" s="57">
        <v>1.0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54" t="s">
        <v>62</v>
      </c>
      <c r="C45" s="54" t="s">
        <v>44</v>
      </c>
      <c r="D45" s="27" t="s">
        <v>63</v>
      </c>
      <c r="E45" s="57">
        <v>1.0</v>
      </c>
      <c r="F45" s="30">
        <v>5.0</v>
      </c>
      <c r="G45" s="57">
        <v>5.0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4" t="s">
        <v>64</v>
      </c>
      <c r="C46" s="54" t="s">
        <v>44</v>
      </c>
      <c r="D46" s="27" t="s">
        <v>65</v>
      </c>
      <c r="E46" s="57">
        <v>1.0</v>
      </c>
      <c r="F46" s="30">
        <v>5.0</v>
      </c>
      <c r="G46" s="57">
        <v>5.0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4" t="s">
        <v>66</v>
      </c>
      <c r="C47" s="54" t="s">
        <v>44</v>
      </c>
      <c r="D47" s="27" t="s">
        <v>67</v>
      </c>
      <c r="E47" s="57">
        <v>1.0</v>
      </c>
      <c r="F47" s="30">
        <v>4.0</v>
      </c>
      <c r="G47" s="57">
        <v>4.0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4" t="s">
        <v>68</v>
      </c>
      <c r="C48" s="54" t="s">
        <v>44</v>
      </c>
      <c r="D48" s="27" t="s">
        <v>69</v>
      </c>
      <c r="E48" s="57">
        <v>1.0</v>
      </c>
      <c r="F48" s="30">
        <v>3.0</v>
      </c>
      <c r="G48" s="57">
        <v>3.0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32" t="s">
        <v>141</v>
      </c>
      <c r="C49" s="6"/>
      <c r="D49" s="6"/>
      <c r="E49" s="6"/>
      <c r="F49" s="7"/>
      <c r="G49" s="59">
        <f>SUM(G36:G48)</f>
        <v>47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32" t="s">
        <v>142</v>
      </c>
      <c r="C50" s="6"/>
      <c r="D50" s="6"/>
      <c r="E50" s="6"/>
      <c r="F50" s="7"/>
      <c r="G50" s="52">
        <f>0.6+(0.01*G49)</f>
        <v>1.07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34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60"/>
      <c r="C52" s="60"/>
      <c r="D52" s="61"/>
      <c r="E52" s="60"/>
      <c r="F52" s="60"/>
      <c r="G52" s="6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0" t="s">
        <v>72</v>
      </c>
      <c r="B53" s="22" t="s">
        <v>73</v>
      </c>
      <c r="C53" s="22" t="s">
        <v>74</v>
      </c>
      <c r="D53" s="21" t="s">
        <v>75</v>
      </c>
      <c r="E53" s="21" t="s">
        <v>9</v>
      </c>
      <c r="F53" s="21" t="s">
        <v>40</v>
      </c>
      <c r="G53" s="21" t="s">
        <v>41</v>
      </c>
      <c r="H53" s="1" t="s">
        <v>76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1"/>
      <c r="B54" s="62" t="s">
        <v>77</v>
      </c>
      <c r="C54" s="54" t="s">
        <v>78</v>
      </c>
      <c r="D54" s="23" t="s">
        <v>79</v>
      </c>
      <c r="E54" s="55" t="s">
        <v>80</v>
      </c>
      <c r="F54" s="26">
        <v>3.0</v>
      </c>
      <c r="G54" s="55" t="s">
        <v>81</v>
      </c>
      <c r="H54" s="56" t="s">
        <v>46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2" t="s">
        <v>82</v>
      </c>
      <c r="C55" s="54" t="s">
        <v>78</v>
      </c>
      <c r="D55" s="27" t="s">
        <v>83</v>
      </c>
      <c r="E55" s="57" t="s">
        <v>84</v>
      </c>
      <c r="F55" s="30">
        <v>4.0</v>
      </c>
      <c r="G55" s="57">
        <v>2.0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2" t="s">
        <v>85</v>
      </c>
      <c r="C56" s="54" t="s">
        <v>78</v>
      </c>
      <c r="D56" s="27" t="s">
        <v>86</v>
      </c>
      <c r="E56" s="57">
        <v>1.0</v>
      </c>
      <c r="F56" s="30">
        <v>4.0</v>
      </c>
      <c r="G56" s="57">
        <v>4.0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2" t="s">
        <v>87</v>
      </c>
      <c r="C57" s="54" t="s">
        <v>78</v>
      </c>
      <c r="D57" s="27" t="s">
        <v>88</v>
      </c>
      <c r="E57" s="57" t="s">
        <v>84</v>
      </c>
      <c r="F57" s="30">
        <v>3.0</v>
      </c>
      <c r="G57" s="57" t="s">
        <v>80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62" t="s">
        <v>89</v>
      </c>
      <c r="C58" s="54" t="s">
        <v>90</v>
      </c>
      <c r="D58" s="27" t="s">
        <v>91</v>
      </c>
      <c r="E58" s="57">
        <v>1.0</v>
      </c>
      <c r="F58" s="30">
        <v>4.0</v>
      </c>
      <c r="G58" s="57">
        <v>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2" t="s">
        <v>92</v>
      </c>
      <c r="C59" s="54" t="s">
        <v>93</v>
      </c>
      <c r="D59" s="27" t="s">
        <v>94</v>
      </c>
      <c r="E59" s="57">
        <v>2.0</v>
      </c>
      <c r="F59" s="30">
        <v>2.0</v>
      </c>
      <c r="G59" s="57">
        <v>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2" t="s">
        <v>95</v>
      </c>
      <c r="C60" s="54" t="s">
        <v>96</v>
      </c>
      <c r="D60" s="27" t="s">
        <v>97</v>
      </c>
      <c r="E60" s="57">
        <v>-1.0</v>
      </c>
      <c r="F60" s="30">
        <v>4.0</v>
      </c>
      <c r="G60" s="57">
        <v>-4.0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2" t="s">
        <v>98</v>
      </c>
      <c r="C61" s="54" t="s">
        <v>99</v>
      </c>
      <c r="D61" s="27" t="s">
        <v>100</v>
      </c>
      <c r="E61" s="57">
        <v>-1.0</v>
      </c>
      <c r="F61" s="30">
        <v>4.0</v>
      </c>
      <c r="G61" s="57">
        <v>-4.0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2" t="s">
        <v>101</v>
      </c>
      <c r="C62" s="6"/>
      <c r="D62" s="6"/>
      <c r="E62" s="6"/>
      <c r="F62" s="7"/>
      <c r="G62" s="21">
        <f>SUM(G54:G61)</f>
        <v>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32" t="s">
        <v>143</v>
      </c>
      <c r="C63" s="6"/>
      <c r="D63" s="6"/>
      <c r="E63" s="6"/>
      <c r="F63" s="7"/>
      <c r="G63" s="21">
        <f>1.4 + (-0.03*G62)</f>
        <v>1.22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32"/>
      <c r="C64" s="63"/>
      <c r="D64" s="64"/>
      <c r="E64" s="63"/>
      <c r="F64" s="65" t="s">
        <v>103</v>
      </c>
      <c r="G64" s="21">
        <f>COUNTIF($F$54:$F$59,"&lt;3")+COUNTIF($F$60:$F$61,"&gt;3")</f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34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20" t="s">
        <v>104</v>
      </c>
      <c r="B67" s="66" t="s">
        <v>144</v>
      </c>
      <c r="C67" s="6"/>
      <c r="D67" s="6"/>
      <c r="E67" s="6"/>
      <c r="F67" s="7"/>
      <c r="G67" s="67">
        <f>F32*G50*G63</f>
        <v>69.1862</v>
      </c>
      <c r="H67" s="104" t="s">
        <v>145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68" t="s">
        <v>106</v>
      </c>
      <c r="B70" s="22" t="s">
        <v>107</v>
      </c>
      <c r="C70" s="22" t="s">
        <v>108</v>
      </c>
      <c r="D70" s="22" t="s">
        <v>109</v>
      </c>
      <c r="E70" s="3"/>
      <c r="F70" s="1"/>
      <c r="G70" s="22" t="s">
        <v>110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69">
        <v>20.0</v>
      </c>
      <c r="C71" s="69">
        <f>IF($G$64&gt;=5,36,IF(AND(G$64&gt;2,$G$64&lt;=4),28, IF(AND($G$64&gt;=0,$G$64&lt;=2),20,"error")))</f>
        <v>28</v>
      </c>
      <c r="D71" s="70">
        <f>IF($G$64&gt;=5,$G$71*(36/20),IF(AND($G$64&gt;2,$G$64&lt;=4),$G$71*(28/20), IF(AND($G$64&gt;=0,$G$64&lt;=2),$G$71,"error")))</f>
        <v>3.5</v>
      </c>
      <c r="E71" s="3"/>
      <c r="F71" s="1"/>
      <c r="G71" s="76">
        <v>2.5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72" t="s">
        <v>111</v>
      </c>
      <c r="C72" s="6"/>
      <c r="D72" s="7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73" t="s">
        <v>112</v>
      </c>
      <c r="B73" s="69">
        <f t="shared" ref="B73:D73" si="1">$G$67*B71</f>
        <v>1383.724</v>
      </c>
      <c r="C73" s="69">
        <f t="shared" si="1"/>
        <v>1937.2136</v>
      </c>
      <c r="D73" s="69">
        <f t="shared" si="1"/>
        <v>242.1517</v>
      </c>
      <c r="E73" s="3"/>
      <c r="F73" s="1"/>
      <c r="G73" s="22" t="s">
        <v>113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73" t="s">
        <v>114</v>
      </c>
      <c r="B74" s="74">
        <f>B73/(22*G74)</f>
        <v>31.44827273</v>
      </c>
      <c r="C74" s="74">
        <f>C73/(22*G74)</f>
        <v>44.02758182</v>
      </c>
      <c r="D74" s="75">
        <f>D73/(22*G74)</f>
        <v>5.503447727</v>
      </c>
      <c r="E74" s="3"/>
      <c r="F74" s="1"/>
      <c r="G74" s="76">
        <v>2.0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20" t="s">
        <v>115</v>
      </c>
      <c r="B77" s="77" t="s">
        <v>116</v>
      </c>
      <c r="C77" s="78"/>
      <c r="D77" s="64"/>
      <c r="E77" s="63"/>
      <c r="F77" s="7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53" t="s">
        <v>117</v>
      </c>
      <c r="C78" s="21" t="s">
        <v>118</v>
      </c>
      <c r="D78" s="67" t="s">
        <v>119</v>
      </c>
      <c r="E78" s="67" t="s">
        <v>120</v>
      </c>
      <c r="F78" s="67" t="s">
        <v>121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80" t="s">
        <v>122</v>
      </c>
      <c r="C79" s="81">
        <v>0.4</v>
      </c>
      <c r="D79" s="74">
        <f t="shared" ref="D79:F79" si="2">+B73</f>
        <v>1383.724</v>
      </c>
      <c r="E79" s="74">
        <f t="shared" si="2"/>
        <v>1937.2136</v>
      </c>
      <c r="F79" s="74">
        <f t="shared" si="2"/>
        <v>242.1517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80" t="s">
        <v>123</v>
      </c>
      <c r="C80" s="81">
        <f>1-C79</f>
        <v>0.6</v>
      </c>
      <c r="D80" s="69">
        <f t="shared" ref="D80:F80" si="3">+D79*1.5</f>
        <v>2075.586</v>
      </c>
      <c r="E80" s="69">
        <f t="shared" si="3"/>
        <v>2905.8204</v>
      </c>
      <c r="F80" s="69">
        <f t="shared" si="3"/>
        <v>363.22755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82"/>
      <c r="C81" s="81">
        <f>SUM(C79:C80)</f>
        <v>1</v>
      </c>
      <c r="D81" s="74">
        <f t="shared" ref="D81:F81" si="4">+D79+D80</f>
        <v>3459.31</v>
      </c>
      <c r="E81" s="74">
        <f t="shared" si="4"/>
        <v>4843.034</v>
      </c>
      <c r="F81" s="74">
        <f t="shared" si="4"/>
        <v>605.37925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20" t="s">
        <v>124</v>
      </c>
      <c r="B83" s="77" t="s">
        <v>125</v>
      </c>
      <c r="C83" s="78"/>
      <c r="D83" s="64"/>
      <c r="E83" s="63"/>
      <c r="F83" s="7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53" t="s">
        <v>117</v>
      </c>
      <c r="C84" s="21" t="s">
        <v>118</v>
      </c>
      <c r="D84" s="67" t="s">
        <v>126</v>
      </c>
      <c r="E84" s="67" t="s">
        <v>127</v>
      </c>
      <c r="F84" s="67" t="s">
        <v>128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80" t="s">
        <v>122</v>
      </c>
      <c r="C85" s="81">
        <v>0.4</v>
      </c>
      <c r="D85" s="74">
        <f t="shared" ref="D85:F85" si="5">$C85/$C$85*B$74</f>
        <v>31.44827273</v>
      </c>
      <c r="E85" s="74">
        <f t="shared" si="5"/>
        <v>44.02758182</v>
      </c>
      <c r="F85" s="74">
        <f t="shared" si="5"/>
        <v>5.503447727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80" t="s">
        <v>123</v>
      </c>
      <c r="C86" s="81">
        <f>1-C85</f>
        <v>0.6</v>
      </c>
      <c r="D86" s="69">
        <f t="shared" ref="D86:F86" si="6">$C86/$C$85*B$74</f>
        <v>47.17240909</v>
      </c>
      <c r="E86" s="69">
        <f t="shared" si="6"/>
        <v>66.04137273</v>
      </c>
      <c r="F86" s="69">
        <f t="shared" si="6"/>
        <v>8.255171591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82"/>
      <c r="C87" s="81">
        <f>SUM(C85:C86)</f>
        <v>1</v>
      </c>
      <c r="D87" s="74">
        <f t="shared" ref="D87:F87" si="7">$C87/$C$85*B$74</f>
        <v>78.62068182</v>
      </c>
      <c r="E87" s="74">
        <f t="shared" si="7"/>
        <v>110.0689545</v>
      </c>
      <c r="F87" s="74">
        <f t="shared" si="7"/>
        <v>13.75861932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20" t="s">
        <v>129</v>
      </c>
      <c r="B89" s="83">
        <v>5.0</v>
      </c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20" t="s">
        <v>130</v>
      </c>
      <c r="B91" s="67" t="s">
        <v>131</v>
      </c>
      <c r="C91" s="67" t="s">
        <v>132</v>
      </c>
      <c r="D91" s="67" t="s">
        <v>133</v>
      </c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84"/>
      <c r="B92" s="85">
        <f>$D$87/$B$89</f>
        <v>15.72413636</v>
      </c>
      <c r="C92" s="85">
        <f>$E$87/$B$89</f>
        <v>22.01379091</v>
      </c>
      <c r="D92" s="85">
        <f>$F$87/$B$89</f>
        <v>2.751723864</v>
      </c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84"/>
      <c r="B93" s="84"/>
      <c r="C93" s="84"/>
      <c r="D93" s="84"/>
      <c r="E93" s="86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84"/>
      <c r="B94" s="84"/>
      <c r="C94" s="84"/>
      <c r="D94" s="84"/>
      <c r="E94" s="86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84"/>
      <c r="B95" s="84"/>
      <c r="C95" s="84"/>
      <c r="D95" s="84"/>
      <c r="E95" s="86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84"/>
      <c r="B96" s="84"/>
      <c r="C96" s="84"/>
      <c r="D96" s="84"/>
      <c r="E96" s="86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84"/>
      <c r="B97" s="84"/>
      <c r="C97" s="84"/>
      <c r="D97" s="84"/>
      <c r="E97" s="86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84"/>
      <c r="B98" s="84"/>
      <c r="C98" s="84"/>
      <c r="D98" s="84"/>
      <c r="E98" s="86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84"/>
      <c r="B99" s="84"/>
      <c r="C99" s="84"/>
      <c r="D99" s="84"/>
      <c r="E99" s="86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84"/>
      <c r="B100" s="84"/>
      <c r="C100" s="84"/>
      <c r="D100" s="84"/>
      <c r="E100" s="86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84"/>
      <c r="B101" s="84"/>
      <c r="C101" s="84"/>
      <c r="D101" s="84"/>
      <c r="E101" s="86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84"/>
      <c r="B102" s="84"/>
      <c r="C102" s="84"/>
      <c r="D102" s="84"/>
      <c r="E102" s="86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84"/>
      <c r="B103" s="84"/>
      <c r="C103" s="84"/>
      <c r="D103" s="84"/>
      <c r="E103" s="86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84"/>
      <c r="B104" s="84"/>
      <c r="C104" s="84"/>
      <c r="D104" s="84"/>
      <c r="E104" s="86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84"/>
      <c r="B105" s="84"/>
      <c r="C105" s="84"/>
      <c r="D105" s="84"/>
      <c r="E105" s="86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5.75" customHeight="1">
      <c r="A106" s="84"/>
      <c r="B106" s="84"/>
      <c r="C106" s="84"/>
      <c r="D106" s="84"/>
      <c r="E106" s="86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15.75" customHeight="1">
      <c r="A107" s="84"/>
      <c r="B107" s="84"/>
      <c r="C107" s="84"/>
      <c r="D107" s="84"/>
      <c r="E107" s="86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15.75" customHeight="1">
      <c r="A108" s="84"/>
      <c r="B108" s="84"/>
      <c r="C108" s="84"/>
      <c r="D108" s="84"/>
      <c r="E108" s="86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10">
    <mergeCell ref="B63:F63"/>
    <mergeCell ref="B67:F67"/>
    <mergeCell ref="B72:D72"/>
    <mergeCell ref="B2:G2"/>
    <mergeCell ref="C12:F12"/>
    <mergeCell ref="C29:E29"/>
    <mergeCell ref="C32:E32"/>
    <mergeCell ref="B49:F49"/>
    <mergeCell ref="B50:F50"/>
    <mergeCell ref="B62:F62"/>
  </mergeCells>
  <dataValidations>
    <dataValidation type="decimal" allowBlank="1" showInputMessage="1" showErrorMessage="1" prompt="Entre 1 y 9 personas." sqref="B89">
      <formula1>1.0</formula1>
      <formula2>9.0</formula2>
    </dataValidation>
  </dataValidations>
  <hyperlinks>
    <hyperlink r:id="rId1" location="v=onepage&amp;q=e7%20part-time%20members&amp;f=false" ref="H36"/>
    <hyperlink r:id="rId2" location="v=onepage&amp;q=e7%20part-time%20members&amp;f=false" ref="H54"/>
  </hyperlinks>
  <printOptions/>
  <pageMargins bottom="1.0" footer="0.0" header="0.0" left="0.75" right="0.75" top="1.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43" t="s">
        <v>25</v>
      </c>
      <c r="C16" s="44"/>
      <c r="D16" s="45">
        <v>6.0</v>
      </c>
      <c r="E16" s="46" t="s">
        <v>26</v>
      </c>
      <c r="F16" s="46">
        <v>10.0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43" t="s">
        <v>27</v>
      </c>
      <c r="C17" s="44"/>
      <c r="D17" s="45">
        <v>8.0</v>
      </c>
      <c r="E17" s="46" t="s">
        <v>13</v>
      </c>
      <c r="F17" s="46">
        <v>15.0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43"/>
      <c r="C18" s="44"/>
      <c r="D18" s="45"/>
      <c r="E18" s="46"/>
      <c r="F18" s="46"/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43" t="s">
        <v>28</v>
      </c>
      <c r="C19" s="44"/>
      <c r="D19" s="45">
        <v>3.0</v>
      </c>
      <c r="E19" s="46" t="s">
        <v>29</v>
      </c>
      <c r="F19" s="46">
        <v>5.0</v>
      </c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43" t="s">
        <v>30</v>
      </c>
      <c r="C20" s="44"/>
      <c r="D20" s="45">
        <v>3.0</v>
      </c>
      <c r="E20" s="46" t="s">
        <v>29</v>
      </c>
      <c r="F20" s="46">
        <v>5.0</v>
      </c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43" t="s">
        <v>31</v>
      </c>
      <c r="C21" s="44"/>
      <c r="D21" s="45">
        <v>4.0</v>
      </c>
      <c r="E21" s="46" t="s">
        <v>26</v>
      </c>
      <c r="F21" s="46">
        <v>10.0</v>
      </c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43" t="s">
        <v>32</v>
      </c>
      <c r="C22" s="44"/>
      <c r="D22" s="45">
        <v>3.0</v>
      </c>
      <c r="E22" s="46" t="s">
        <v>29</v>
      </c>
      <c r="F22" s="46">
        <v>5.0</v>
      </c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43"/>
      <c r="C23" s="44"/>
      <c r="D23" s="45"/>
      <c r="E23" s="46"/>
      <c r="F23" s="46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43"/>
      <c r="C24" s="44"/>
      <c r="D24" s="45"/>
      <c r="E24" s="46"/>
      <c r="F24" s="46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3"/>
      <c r="C25" s="44"/>
      <c r="D25" s="45"/>
      <c r="E25" s="46"/>
      <c r="F25" s="46"/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27"/>
      <c r="C26" s="47"/>
      <c r="D26" s="30"/>
      <c r="E26" s="29"/>
      <c r="F26" s="29"/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7"/>
      <c r="C27" s="47"/>
      <c r="D27" s="30"/>
      <c r="E27" s="29"/>
      <c r="F27" s="29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27"/>
      <c r="C28" s="47"/>
      <c r="D28" s="30"/>
      <c r="E28" s="29"/>
      <c r="F28" s="29"/>
      <c r="G28" s="1"/>
      <c r="H28" s="1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38"/>
      <c r="U28" s="1"/>
      <c r="V28" s="1"/>
      <c r="W28" s="1"/>
      <c r="X28" s="1"/>
      <c r="Y28" s="1"/>
      <c r="Z28" s="1"/>
    </row>
    <row r="29" ht="27.75" customHeight="1">
      <c r="A29" s="1"/>
      <c r="B29" s="48"/>
      <c r="C29" s="49" t="s">
        <v>33</v>
      </c>
      <c r="D29" s="50"/>
      <c r="E29" s="51"/>
      <c r="F29" s="52">
        <f>SUM(F16:F28)</f>
        <v>50</v>
      </c>
      <c r="G29" s="1"/>
      <c r="H29" s="20"/>
      <c r="I29" s="1"/>
      <c r="J29" s="1"/>
      <c r="K29" s="3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20" t="s">
        <v>34</v>
      </c>
      <c r="B32" s="53"/>
      <c r="C32" s="32" t="s">
        <v>146</v>
      </c>
      <c r="D32" s="6"/>
      <c r="E32" s="7"/>
      <c r="F32" s="33">
        <f>G12+F29</f>
        <v>53</v>
      </c>
      <c r="G32" s="1"/>
      <c r="H32" s="2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3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20" t="s">
        <v>36</v>
      </c>
      <c r="B35" s="22" t="s">
        <v>37</v>
      </c>
      <c r="C35" s="22" t="s">
        <v>38</v>
      </c>
      <c r="D35" s="21" t="s">
        <v>39</v>
      </c>
      <c r="E35" s="21" t="s">
        <v>9</v>
      </c>
      <c r="F35" s="21" t="s">
        <v>40</v>
      </c>
      <c r="G35" s="21" t="s">
        <v>41</v>
      </c>
      <c r="H35" s="1" t="s">
        <v>42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75" customHeight="1">
      <c r="A36" s="1"/>
      <c r="B36" s="54" t="s">
        <v>43</v>
      </c>
      <c r="C36" s="54" t="s">
        <v>44</v>
      </c>
      <c r="D36" s="23" t="s">
        <v>45</v>
      </c>
      <c r="E36" s="55">
        <v>2.0</v>
      </c>
      <c r="F36" s="26">
        <v>0.0</v>
      </c>
      <c r="G36" s="55">
        <v>0.0</v>
      </c>
      <c r="H36" s="56" t="s">
        <v>46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4" t="s">
        <v>47</v>
      </c>
      <c r="C37" s="54" t="s">
        <v>44</v>
      </c>
      <c r="D37" s="27" t="s">
        <v>48</v>
      </c>
      <c r="E37" s="57">
        <v>2.0</v>
      </c>
      <c r="F37" s="30">
        <v>5.0</v>
      </c>
      <c r="G37" s="57">
        <v>10.0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4" t="s">
        <v>49</v>
      </c>
      <c r="C38" s="54" t="s">
        <v>44</v>
      </c>
      <c r="D38" s="58"/>
      <c r="E38" s="57">
        <v>1.0</v>
      </c>
      <c r="F38" s="30">
        <v>4.0</v>
      </c>
      <c r="G38" s="57">
        <v>4.0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4" t="s">
        <v>50</v>
      </c>
      <c r="C39" s="54" t="s">
        <v>44</v>
      </c>
      <c r="D39" s="27" t="s">
        <v>51</v>
      </c>
      <c r="E39" s="57">
        <v>1.0</v>
      </c>
      <c r="F39" s="30">
        <v>4.0</v>
      </c>
      <c r="G39" s="57">
        <v>4.0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4" t="s">
        <v>52</v>
      </c>
      <c r="C40" s="54" t="s">
        <v>44</v>
      </c>
      <c r="D40" s="27" t="s">
        <v>53</v>
      </c>
      <c r="E40" s="57">
        <v>1.0</v>
      </c>
      <c r="F40" s="30">
        <v>0.0</v>
      </c>
      <c r="G40" s="57">
        <v>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4" t="s">
        <v>54</v>
      </c>
      <c r="C41" s="54" t="s">
        <v>44</v>
      </c>
      <c r="D41" s="27" t="s">
        <v>55</v>
      </c>
      <c r="E41" s="57">
        <v>0.5</v>
      </c>
      <c r="F41" s="30">
        <v>5.0</v>
      </c>
      <c r="G41" s="57">
        <v>2.5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4" t="s">
        <v>56</v>
      </c>
      <c r="C42" s="54" t="s">
        <v>44</v>
      </c>
      <c r="D42" s="27" t="s">
        <v>57</v>
      </c>
      <c r="E42" s="57">
        <v>0.5</v>
      </c>
      <c r="F42" s="30">
        <v>5.0</v>
      </c>
      <c r="G42" s="57">
        <v>2.5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4" t="s">
        <v>58</v>
      </c>
      <c r="C43" s="54" t="s">
        <v>44</v>
      </c>
      <c r="D43" s="27" t="s">
        <v>59</v>
      </c>
      <c r="E43" s="57">
        <v>2.0</v>
      </c>
      <c r="F43" s="30">
        <v>3.0</v>
      </c>
      <c r="G43" s="57">
        <v>6.0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4" t="s">
        <v>60</v>
      </c>
      <c r="C44" s="54" t="s">
        <v>44</v>
      </c>
      <c r="D44" s="27" t="s">
        <v>61</v>
      </c>
      <c r="E44" s="57">
        <v>1.0</v>
      </c>
      <c r="F44" s="30">
        <v>1.0</v>
      </c>
      <c r="G44" s="57">
        <v>1.0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54" t="s">
        <v>62</v>
      </c>
      <c r="C45" s="54" t="s">
        <v>44</v>
      </c>
      <c r="D45" s="27" t="s">
        <v>63</v>
      </c>
      <c r="E45" s="57">
        <v>1.0</v>
      </c>
      <c r="F45" s="30">
        <v>5.0</v>
      </c>
      <c r="G45" s="57">
        <v>5.0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4" t="s">
        <v>64</v>
      </c>
      <c r="C46" s="54" t="s">
        <v>44</v>
      </c>
      <c r="D46" s="27" t="s">
        <v>65</v>
      </c>
      <c r="E46" s="57">
        <v>1.0</v>
      </c>
      <c r="F46" s="30">
        <v>5.0</v>
      </c>
      <c r="G46" s="57">
        <v>5.0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4" t="s">
        <v>66</v>
      </c>
      <c r="C47" s="54" t="s">
        <v>44</v>
      </c>
      <c r="D47" s="27" t="s">
        <v>67</v>
      </c>
      <c r="E47" s="57">
        <v>1.0</v>
      </c>
      <c r="F47" s="30">
        <v>4.0</v>
      </c>
      <c r="G47" s="57">
        <v>4.0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4" t="s">
        <v>68</v>
      </c>
      <c r="C48" s="54" t="s">
        <v>44</v>
      </c>
      <c r="D48" s="27" t="s">
        <v>69</v>
      </c>
      <c r="E48" s="57">
        <v>1.0</v>
      </c>
      <c r="F48" s="30">
        <v>3.0</v>
      </c>
      <c r="G48" s="57">
        <v>3.0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32" t="s">
        <v>147</v>
      </c>
      <c r="C49" s="6"/>
      <c r="D49" s="6"/>
      <c r="E49" s="6"/>
      <c r="F49" s="7"/>
      <c r="G49" s="59">
        <f>SUM(G36:G48)</f>
        <v>47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32" t="s">
        <v>148</v>
      </c>
      <c r="C50" s="6"/>
      <c r="D50" s="6"/>
      <c r="E50" s="6"/>
      <c r="F50" s="7"/>
      <c r="G50" s="52">
        <f>0.6+(0.01*G49)</f>
        <v>1.07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34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60"/>
      <c r="C52" s="60"/>
      <c r="D52" s="61"/>
      <c r="E52" s="60"/>
      <c r="F52" s="60"/>
      <c r="G52" s="6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0" t="s">
        <v>72</v>
      </c>
      <c r="B53" s="22" t="s">
        <v>73</v>
      </c>
      <c r="C53" s="22" t="s">
        <v>74</v>
      </c>
      <c r="D53" s="21" t="s">
        <v>75</v>
      </c>
      <c r="E53" s="21" t="s">
        <v>9</v>
      </c>
      <c r="F53" s="21" t="s">
        <v>40</v>
      </c>
      <c r="G53" s="21" t="s">
        <v>41</v>
      </c>
      <c r="H53" s="1" t="s">
        <v>76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1"/>
      <c r="B54" s="62" t="s">
        <v>77</v>
      </c>
      <c r="C54" s="54" t="s">
        <v>78</v>
      </c>
      <c r="D54" s="23" t="s">
        <v>79</v>
      </c>
      <c r="E54" s="55" t="s">
        <v>80</v>
      </c>
      <c r="F54" s="26">
        <v>3.0</v>
      </c>
      <c r="G54" s="55" t="s">
        <v>81</v>
      </c>
      <c r="H54" s="56" t="s">
        <v>46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2" t="s">
        <v>82</v>
      </c>
      <c r="C55" s="54" t="s">
        <v>78</v>
      </c>
      <c r="D55" s="27" t="s">
        <v>83</v>
      </c>
      <c r="E55" s="57" t="s">
        <v>84</v>
      </c>
      <c r="F55" s="30">
        <v>4.0</v>
      </c>
      <c r="G55" s="57">
        <v>2.0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2" t="s">
        <v>85</v>
      </c>
      <c r="C56" s="54" t="s">
        <v>78</v>
      </c>
      <c r="D56" s="27" t="s">
        <v>86</v>
      </c>
      <c r="E56" s="57">
        <v>1.0</v>
      </c>
      <c r="F56" s="30">
        <v>4.0</v>
      </c>
      <c r="G56" s="57">
        <v>4.0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2" t="s">
        <v>87</v>
      </c>
      <c r="C57" s="54" t="s">
        <v>78</v>
      </c>
      <c r="D57" s="27" t="s">
        <v>88</v>
      </c>
      <c r="E57" s="57" t="s">
        <v>84</v>
      </c>
      <c r="F57" s="30">
        <v>3.0</v>
      </c>
      <c r="G57" s="57" t="s">
        <v>80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62" t="s">
        <v>89</v>
      </c>
      <c r="C58" s="54" t="s">
        <v>90</v>
      </c>
      <c r="D58" s="27" t="s">
        <v>91</v>
      </c>
      <c r="E58" s="57">
        <v>1.0</v>
      </c>
      <c r="F58" s="30">
        <v>4.0</v>
      </c>
      <c r="G58" s="57">
        <v>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2" t="s">
        <v>92</v>
      </c>
      <c r="C59" s="54" t="s">
        <v>93</v>
      </c>
      <c r="D59" s="27" t="s">
        <v>94</v>
      </c>
      <c r="E59" s="57">
        <v>2.0</v>
      </c>
      <c r="F59" s="30">
        <v>2.0</v>
      </c>
      <c r="G59" s="57">
        <v>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2" t="s">
        <v>95</v>
      </c>
      <c r="C60" s="54" t="s">
        <v>96</v>
      </c>
      <c r="D60" s="27" t="s">
        <v>97</v>
      </c>
      <c r="E60" s="57">
        <v>-1.0</v>
      </c>
      <c r="F60" s="30">
        <v>4.0</v>
      </c>
      <c r="G60" s="57">
        <v>-4.0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2" t="s">
        <v>98</v>
      </c>
      <c r="C61" s="54" t="s">
        <v>99</v>
      </c>
      <c r="D61" s="27" t="s">
        <v>100</v>
      </c>
      <c r="E61" s="57">
        <v>-1.0</v>
      </c>
      <c r="F61" s="30">
        <v>4.0</v>
      </c>
      <c r="G61" s="57">
        <v>-4.0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2" t="s">
        <v>101</v>
      </c>
      <c r="C62" s="6"/>
      <c r="D62" s="6"/>
      <c r="E62" s="6"/>
      <c r="F62" s="7"/>
      <c r="G62" s="21">
        <f>SUM(G54:G61)</f>
        <v>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32" t="s">
        <v>149</v>
      </c>
      <c r="C63" s="6"/>
      <c r="D63" s="6"/>
      <c r="E63" s="6"/>
      <c r="F63" s="7"/>
      <c r="G63" s="21">
        <f>1.4 + (-0.03*G62)</f>
        <v>1.22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32"/>
      <c r="C64" s="63"/>
      <c r="D64" s="64"/>
      <c r="E64" s="63"/>
      <c r="F64" s="65" t="s">
        <v>103</v>
      </c>
      <c r="G64" s="21">
        <f>COUNTIF($F$54:$F$59,"&lt;3")+COUNTIF($F$60:$F$61,"&gt;3")</f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34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20" t="s">
        <v>104</v>
      </c>
      <c r="B67" s="66" t="s">
        <v>150</v>
      </c>
      <c r="C67" s="6"/>
      <c r="D67" s="6"/>
      <c r="E67" s="6"/>
      <c r="F67" s="7"/>
      <c r="G67" s="67">
        <f>F32*G50*G63</f>
        <v>69.1862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68" t="s">
        <v>106</v>
      </c>
      <c r="B70" s="22" t="s">
        <v>107</v>
      </c>
      <c r="C70" s="22" t="s">
        <v>108</v>
      </c>
      <c r="D70" s="22" t="s">
        <v>109</v>
      </c>
      <c r="E70" s="3"/>
      <c r="F70" s="1"/>
      <c r="G70" s="22" t="s">
        <v>110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69">
        <v>20.0</v>
      </c>
      <c r="C71" s="69">
        <f>IF($G$64&gt;=5,36,IF(AND(G$64&gt;2,$G$64&lt;=4),28, IF(AND($G$64&gt;=0,$G$64&lt;=2),20,"error")))</f>
        <v>28</v>
      </c>
      <c r="D71" s="70">
        <f>IF($G$64&gt;=5,$G$71*(36/20),IF(AND($G$64&gt;2,$G$64&lt;=4),$G$71*(28/20), IF(AND($G$64&gt;=0,$G$64&lt;=2),$G$71,"error")))</f>
        <v>2.24</v>
      </c>
      <c r="E71" s="3"/>
      <c r="F71" s="1"/>
      <c r="G71" s="105">
        <v>1.6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72" t="s">
        <v>111</v>
      </c>
      <c r="C72" s="6"/>
      <c r="D72" s="7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73" t="s">
        <v>112</v>
      </c>
      <c r="B73" s="69">
        <f t="shared" ref="B73:D73" si="1">$G$67*B71</f>
        <v>1383.724</v>
      </c>
      <c r="C73" s="69">
        <f t="shared" si="1"/>
        <v>1937.2136</v>
      </c>
      <c r="D73" s="69">
        <f t="shared" si="1"/>
        <v>154.977088</v>
      </c>
      <c r="E73" s="3"/>
      <c r="F73" s="1"/>
      <c r="G73" s="22" t="s">
        <v>113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73" t="s">
        <v>114</v>
      </c>
      <c r="B74" s="74">
        <f>B73/(22*G74)</f>
        <v>31.44827273</v>
      </c>
      <c r="C74" s="74">
        <f>C73/(22*G74)</f>
        <v>44.02758182</v>
      </c>
      <c r="D74" s="75">
        <f>D73/(22*G74)</f>
        <v>3.522206545</v>
      </c>
      <c r="E74" s="3"/>
      <c r="F74" s="1"/>
      <c r="G74" s="76">
        <v>2.0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20" t="s">
        <v>115</v>
      </c>
      <c r="B77" s="77" t="s">
        <v>116</v>
      </c>
      <c r="C77" s="78"/>
      <c r="D77" s="64"/>
      <c r="E77" s="63"/>
      <c r="F77" s="7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53" t="s">
        <v>117</v>
      </c>
      <c r="C78" s="21" t="s">
        <v>118</v>
      </c>
      <c r="D78" s="67" t="s">
        <v>119</v>
      </c>
      <c r="E78" s="67" t="s">
        <v>120</v>
      </c>
      <c r="F78" s="67" t="s">
        <v>121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80" t="s">
        <v>122</v>
      </c>
      <c r="C79" s="81">
        <v>0.4</v>
      </c>
      <c r="D79" s="74">
        <f t="shared" ref="D79:F79" si="2">+B73</f>
        <v>1383.724</v>
      </c>
      <c r="E79" s="74">
        <f t="shared" si="2"/>
        <v>1937.2136</v>
      </c>
      <c r="F79" s="74">
        <f t="shared" si="2"/>
        <v>154.977088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80" t="s">
        <v>123</v>
      </c>
      <c r="C80" s="81">
        <f>1-C79</f>
        <v>0.6</v>
      </c>
      <c r="D80" s="69">
        <f t="shared" ref="D80:F80" si="3">+D79*1.5</f>
        <v>2075.586</v>
      </c>
      <c r="E80" s="69">
        <f t="shared" si="3"/>
        <v>2905.8204</v>
      </c>
      <c r="F80" s="69">
        <f t="shared" si="3"/>
        <v>232.465632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82"/>
      <c r="C81" s="81">
        <f>SUM(C79:C80)</f>
        <v>1</v>
      </c>
      <c r="D81" s="74">
        <f t="shared" ref="D81:F81" si="4">+D79+D80</f>
        <v>3459.31</v>
      </c>
      <c r="E81" s="74">
        <f t="shared" si="4"/>
        <v>4843.034</v>
      </c>
      <c r="F81" s="74">
        <f t="shared" si="4"/>
        <v>387.44272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20" t="s">
        <v>124</v>
      </c>
      <c r="B83" s="77" t="s">
        <v>125</v>
      </c>
      <c r="C83" s="78"/>
      <c r="D83" s="64"/>
      <c r="E83" s="63"/>
      <c r="F83" s="7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53" t="s">
        <v>117</v>
      </c>
      <c r="C84" s="21" t="s">
        <v>118</v>
      </c>
      <c r="D84" s="67" t="s">
        <v>126</v>
      </c>
      <c r="E84" s="67" t="s">
        <v>127</v>
      </c>
      <c r="F84" s="67" t="s">
        <v>128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80" t="s">
        <v>122</v>
      </c>
      <c r="C85" s="81">
        <v>0.4</v>
      </c>
      <c r="D85" s="74">
        <f t="shared" ref="D85:F85" si="5">$C85/$C$85*B$74</f>
        <v>31.44827273</v>
      </c>
      <c r="E85" s="74">
        <f t="shared" si="5"/>
        <v>44.02758182</v>
      </c>
      <c r="F85" s="74">
        <f t="shared" si="5"/>
        <v>3.522206545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80" t="s">
        <v>123</v>
      </c>
      <c r="C86" s="81">
        <f>1-C85</f>
        <v>0.6</v>
      </c>
      <c r="D86" s="69">
        <f t="shared" ref="D86:F86" si="6">$C86/$C$85*B$74</f>
        <v>47.17240909</v>
      </c>
      <c r="E86" s="69">
        <f t="shared" si="6"/>
        <v>66.04137273</v>
      </c>
      <c r="F86" s="69">
        <f t="shared" si="6"/>
        <v>5.283309818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82"/>
      <c r="C87" s="81">
        <f>SUM(C85:C86)</f>
        <v>1</v>
      </c>
      <c r="D87" s="74">
        <f t="shared" ref="D87:F87" si="7">$C87/$C$85*B$74</f>
        <v>78.62068182</v>
      </c>
      <c r="E87" s="74">
        <f t="shared" si="7"/>
        <v>110.0689545</v>
      </c>
      <c r="F87" s="74">
        <f t="shared" si="7"/>
        <v>8.805516364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20" t="s">
        <v>129</v>
      </c>
      <c r="B89" s="83">
        <v>5.0</v>
      </c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20" t="s">
        <v>130</v>
      </c>
      <c r="B91" s="67" t="s">
        <v>131</v>
      </c>
      <c r="C91" s="67" t="s">
        <v>132</v>
      </c>
      <c r="D91" s="67" t="s">
        <v>133</v>
      </c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84"/>
      <c r="B92" s="85">
        <f>$D$87/$B$89</f>
        <v>15.72413636</v>
      </c>
      <c r="C92" s="85">
        <f>$E$87/$B$89</f>
        <v>22.01379091</v>
      </c>
      <c r="D92" s="85">
        <f>$F$87/$B$89</f>
        <v>1.761103273</v>
      </c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84"/>
      <c r="B93" s="84"/>
      <c r="C93" s="84"/>
      <c r="D93" s="84"/>
      <c r="E93" s="86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84"/>
      <c r="B94" s="84"/>
      <c r="C94" s="84"/>
      <c r="D94" s="84"/>
      <c r="E94" s="86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84"/>
      <c r="B95" s="84"/>
      <c r="C95" s="84"/>
      <c r="D95" s="84"/>
      <c r="E95" s="86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84"/>
      <c r="B96" s="84"/>
      <c r="C96" s="84"/>
      <c r="D96" s="84"/>
      <c r="E96" s="86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84"/>
      <c r="B97" s="84"/>
      <c r="C97" s="84"/>
      <c r="D97" s="84"/>
      <c r="E97" s="86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84"/>
      <c r="B98" s="84"/>
      <c r="C98" s="84"/>
      <c r="D98" s="84"/>
      <c r="E98" s="86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84"/>
      <c r="B99" s="84"/>
      <c r="C99" s="84"/>
      <c r="D99" s="84"/>
      <c r="E99" s="86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84"/>
      <c r="B100" s="84"/>
      <c r="C100" s="84"/>
      <c r="D100" s="84"/>
      <c r="E100" s="86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84"/>
      <c r="B101" s="84"/>
      <c r="C101" s="84"/>
      <c r="D101" s="84"/>
      <c r="E101" s="86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84"/>
      <c r="B102" s="84"/>
      <c r="C102" s="84"/>
      <c r="D102" s="84"/>
      <c r="E102" s="86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84"/>
      <c r="B103" s="84"/>
      <c r="C103" s="84"/>
      <c r="D103" s="84"/>
      <c r="E103" s="86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84"/>
      <c r="B104" s="84"/>
      <c r="C104" s="84"/>
      <c r="D104" s="84"/>
      <c r="E104" s="86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84"/>
      <c r="B105" s="84"/>
      <c r="C105" s="84"/>
      <c r="D105" s="84"/>
      <c r="E105" s="86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5.75" customHeight="1">
      <c r="A106" s="84"/>
      <c r="B106" s="84"/>
      <c r="C106" s="84"/>
      <c r="D106" s="84"/>
      <c r="E106" s="86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15.75" customHeight="1">
      <c r="A107" s="84"/>
      <c r="B107" s="84"/>
      <c r="C107" s="84"/>
      <c r="D107" s="84"/>
      <c r="E107" s="86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15.75" customHeight="1">
      <c r="A108" s="84"/>
      <c r="B108" s="84"/>
      <c r="C108" s="84"/>
      <c r="D108" s="84"/>
      <c r="E108" s="86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10">
    <mergeCell ref="B63:F63"/>
    <mergeCell ref="B67:F67"/>
    <mergeCell ref="B72:D72"/>
    <mergeCell ref="B2:G2"/>
    <mergeCell ref="C12:F12"/>
    <mergeCell ref="C29:E29"/>
    <mergeCell ref="C32:E32"/>
    <mergeCell ref="B49:F49"/>
    <mergeCell ref="B50:F50"/>
    <mergeCell ref="B62:F62"/>
  </mergeCells>
  <dataValidations>
    <dataValidation type="decimal" allowBlank="1" showInputMessage="1" showErrorMessage="1" prompt="Entre 1 y 9 personas." sqref="B89">
      <formula1>1.0</formula1>
      <formula2>9.0</formula2>
    </dataValidation>
  </dataValidations>
  <hyperlinks>
    <hyperlink r:id="rId1" location="v=onepage&amp;q=e7%20part-time%20members&amp;f=false" ref="H36"/>
    <hyperlink r:id="rId2" location="v=onepage&amp;q=e7%20part-time%20members&amp;f=false" ref="H54"/>
  </hyperlinks>
  <printOptions/>
  <pageMargins bottom="1.0" footer="0.0" header="0.0" left="0.75" right="0.75" top="1.0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1"/>
      <c r="C11" s="32" t="s">
        <v>19</v>
      </c>
      <c r="D11" s="6"/>
      <c r="E11" s="6"/>
      <c r="F11" s="7"/>
      <c r="G11" s="33">
        <f>SUM(G8:G10)</f>
        <v>3</v>
      </c>
      <c r="H11" s="2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0"/>
      <c r="C12" s="34"/>
      <c r="D12" s="3"/>
      <c r="E12" s="3"/>
      <c r="F12" s="3"/>
      <c r="G12" s="35"/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6"/>
      <c r="D13" s="36"/>
      <c r="E13" s="37"/>
      <c r="F13" s="20"/>
      <c r="G13" s="20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20" t="s">
        <v>20</v>
      </c>
      <c r="B14" s="21" t="s">
        <v>21</v>
      </c>
      <c r="C14" s="21" t="s">
        <v>22</v>
      </c>
      <c r="D14" s="22" t="s">
        <v>23</v>
      </c>
      <c r="E14" s="22" t="s">
        <v>24</v>
      </c>
      <c r="F14" s="21" t="s">
        <v>9</v>
      </c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1"/>
      <c r="V14" s="1"/>
      <c r="W14" s="1"/>
      <c r="X14" s="1"/>
      <c r="Y14" s="1"/>
      <c r="Z14" s="1"/>
    </row>
    <row r="15" ht="27.75" customHeight="1">
      <c r="A15" s="1"/>
      <c r="B15" s="39"/>
      <c r="C15" s="40"/>
      <c r="D15" s="41"/>
      <c r="E15" s="42"/>
      <c r="F15" s="42"/>
      <c r="G15" s="1"/>
      <c r="H15" s="1"/>
      <c r="I15" s="1"/>
      <c r="J15" s="1"/>
      <c r="K15" s="38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43" t="s">
        <v>25</v>
      </c>
      <c r="C16" s="44"/>
      <c r="D16" s="45">
        <v>6.0</v>
      </c>
      <c r="E16" s="46" t="s">
        <v>26</v>
      </c>
      <c r="F16" s="46">
        <v>10.0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43" t="s">
        <v>27</v>
      </c>
      <c r="C17" s="44"/>
      <c r="D17" s="45">
        <v>8.0</v>
      </c>
      <c r="E17" s="46" t="s">
        <v>13</v>
      </c>
      <c r="F17" s="46">
        <v>15.0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43"/>
      <c r="C18" s="44"/>
      <c r="D18" s="45"/>
      <c r="E18" s="46"/>
      <c r="F18" s="46"/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43"/>
      <c r="C19" s="44"/>
      <c r="D19" s="45"/>
      <c r="E19" s="46"/>
      <c r="F19" s="46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43" t="s">
        <v>139</v>
      </c>
      <c r="C20" s="44"/>
      <c r="D20" s="45">
        <v>4.0</v>
      </c>
      <c r="E20" s="46" t="s">
        <v>26</v>
      </c>
      <c r="F20" s="46">
        <v>10.0</v>
      </c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43" t="s">
        <v>28</v>
      </c>
      <c r="C21" s="44"/>
      <c r="D21" s="45">
        <v>3.0</v>
      </c>
      <c r="E21" s="46" t="s">
        <v>29</v>
      </c>
      <c r="F21" s="46">
        <v>5.0</v>
      </c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43" t="s">
        <v>30</v>
      </c>
      <c r="C22" s="44"/>
      <c r="D22" s="45">
        <v>3.0</v>
      </c>
      <c r="E22" s="46" t="s">
        <v>29</v>
      </c>
      <c r="F22" s="46">
        <v>5.0</v>
      </c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43" t="s">
        <v>31</v>
      </c>
      <c r="C23" s="44"/>
      <c r="D23" s="45">
        <v>4.0</v>
      </c>
      <c r="E23" s="46" t="s">
        <v>26</v>
      </c>
      <c r="F23" s="46">
        <v>10.0</v>
      </c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43" t="s">
        <v>32</v>
      </c>
      <c r="C24" s="44"/>
      <c r="D24" s="45">
        <v>3.0</v>
      </c>
      <c r="E24" s="46" t="s">
        <v>29</v>
      </c>
      <c r="F24" s="46">
        <v>5.0</v>
      </c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8"/>
      <c r="C25" s="49" t="s">
        <v>33</v>
      </c>
      <c r="D25" s="50"/>
      <c r="E25" s="51"/>
      <c r="F25" s="52">
        <f>SUM(F15:F24)</f>
        <v>60</v>
      </c>
      <c r="G25" s="1"/>
      <c r="H25" s="20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2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20" t="s">
        <v>34</v>
      </c>
      <c r="B28" s="53"/>
      <c r="C28" s="32" t="s">
        <v>151</v>
      </c>
      <c r="D28" s="6"/>
      <c r="E28" s="7"/>
      <c r="F28" s="33">
        <f>G11+F25</f>
        <v>63</v>
      </c>
      <c r="G28" s="1"/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3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20" t="s">
        <v>36</v>
      </c>
      <c r="B31" s="22" t="s">
        <v>37</v>
      </c>
      <c r="C31" s="22" t="s">
        <v>38</v>
      </c>
      <c r="D31" s="21" t="s">
        <v>39</v>
      </c>
      <c r="E31" s="21" t="s">
        <v>9</v>
      </c>
      <c r="F31" s="21" t="s">
        <v>40</v>
      </c>
      <c r="G31" s="21" t="s">
        <v>41</v>
      </c>
      <c r="H31" s="1" t="s">
        <v>42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75" customHeight="1">
      <c r="A32" s="1"/>
      <c r="B32" s="54" t="s">
        <v>43</v>
      </c>
      <c r="C32" s="54" t="s">
        <v>44</v>
      </c>
      <c r="D32" s="23" t="s">
        <v>45</v>
      </c>
      <c r="E32" s="55">
        <v>2.0</v>
      </c>
      <c r="F32" s="26">
        <v>0.0</v>
      </c>
      <c r="G32" s="55">
        <v>0.0</v>
      </c>
      <c r="H32" s="56" t="s">
        <v>46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4" t="s">
        <v>47</v>
      </c>
      <c r="C33" s="54" t="s">
        <v>44</v>
      </c>
      <c r="D33" s="27" t="s">
        <v>48</v>
      </c>
      <c r="E33" s="57">
        <v>2.0</v>
      </c>
      <c r="F33" s="30">
        <v>5.0</v>
      </c>
      <c r="G33" s="57">
        <v>10.0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54" t="s">
        <v>49</v>
      </c>
      <c r="C34" s="54" t="s">
        <v>44</v>
      </c>
      <c r="D34" s="58"/>
      <c r="E34" s="57">
        <v>1.0</v>
      </c>
      <c r="F34" s="30">
        <v>5.0</v>
      </c>
      <c r="G34" s="57">
        <v>5.0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4" t="s">
        <v>50</v>
      </c>
      <c r="C35" s="54" t="s">
        <v>44</v>
      </c>
      <c r="D35" s="27" t="s">
        <v>51</v>
      </c>
      <c r="E35" s="57">
        <v>1.0</v>
      </c>
      <c r="F35" s="30">
        <v>3.0</v>
      </c>
      <c r="G35" s="57">
        <v>3.0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54" t="s">
        <v>52</v>
      </c>
      <c r="C36" s="54" t="s">
        <v>44</v>
      </c>
      <c r="D36" s="27" t="s">
        <v>53</v>
      </c>
      <c r="E36" s="57">
        <v>1.0</v>
      </c>
      <c r="F36" s="30">
        <v>0.0</v>
      </c>
      <c r="G36" s="57">
        <v>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4" t="s">
        <v>54</v>
      </c>
      <c r="C37" s="54" t="s">
        <v>44</v>
      </c>
      <c r="D37" s="27" t="s">
        <v>55</v>
      </c>
      <c r="E37" s="57" t="s">
        <v>84</v>
      </c>
      <c r="F37" s="30">
        <v>3.0</v>
      </c>
      <c r="G37" s="57" t="s">
        <v>80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4" t="s">
        <v>56</v>
      </c>
      <c r="C38" s="54" t="s">
        <v>44</v>
      </c>
      <c r="D38" s="27" t="s">
        <v>57</v>
      </c>
      <c r="E38" s="57" t="s">
        <v>84</v>
      </c>
      <c r="F38" s="30">
        <v>5.0</v>
      </c>
      <c r="G38" s="57" t="s">
        <v>152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4" t="s">
        <v>58</v>
      </c>
      <c r="C39" s="54" t="s">
        <v>44</v>
      </c>
      <c r="D39" s="27" t="s">
        <v>59</v>
      </c>
      <c r="E39" s="57">
        <v>2.0</v>
      </c>
      <c r="F39" s="30">
        <v>3.0</v>
      </c>
      <c r="G39" s="57">
        <v>6.0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4" t="s">
        <v>60</v>
      </c>
      <c r="C40" s="54" t="s">
        <v>44</v>
      </c>
      <c r="D40" s="27" t="s">
        <v>153</v>
      </c>
      <c r="E40" s="57">
        <v>1.0</v>
      </c>
      <c r="F40" s="30">
        <v>0.0</v>
      </c>
      <c r="G40" s="57">
        <v>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4" t="s">
        <v>62</v>
      </c>
      <c r="C41" s="54" t="s">
        <v>44</v>
      </c>
      <c r="D41" s="58"/>
      <c r="E41" s="57">
        <v>1.0</v>
      </c>
      <c r="F41" s="30">
        <v>5.0</v>
      </c>
      <c r="G41" s="57">
        <v>5.0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4" t="s">
        <v>64</v>
      </c>
      <c r="C42" s="54" t="s">
        <v>44</v>
      </c>
      <c r="D42" s="27" t="s">
        <v>65</v>
      </c>
      <c r="E42" s="57">
        <v>1.0</v>
      </c>
      <c r="F42" s="30">
        <v>5.0</v>
      </c>
      <c r="G42" s="57">
        <v>5.0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4" t="s">
        <v>66</v>
      </c>
      <c r="C43" s="54" t="s">
        <v>44</v>
      </c>
      <c r="D43" s="27" t="s">
        <v>67</v>
      </c>
      <c r="E43" s="57">
        <v>1.0</v>
      </c>
      <c r="F43" s="30">
        <v>5.0</v>
      </c>
      <c r="G43" s="57">
        <v>5.0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4" t="s">
        <v>68</v>
      </c>
      <c r="C44" s="54" t="s">
        <v>44</v>
      </c>
      <c r="D44" s="27" t="s">
        <v>69</v>
      </c>
      <c r="E44" s="57">
        <v>1.0</v>
      </c>
      <c r="F44" s="30">
        <v>4.0</v>
      </c>
      <c r="G44" s="57">
        <v>4.0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32" t="s">
        <v>154</v>
      </c>
      <c r="C45" s="6"/>
      <c r="D45" s="6"/>
      <c r="E45" s="6"/>
      <c r="F45" s="7"/>
      <c r="G45" s="59">
        <f>SUM(G32:G44)</f>
        <v>43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32" t="s">
        <v>155</v>
      </c>
      <c r="C46" s="6"/>
      <c r="D46" s="6"/>
      <c r="E46" s="6"/>
      <c r="F46" s="7"/>
      <c r="G46" s="52">
        <f>0.6+(0.01*G45)</f>
        <v>1.03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34"/>
      <c r="C47" s="3"/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60"/>
      <c r="C48" s="60"/>
      <c r="D48" s="61"/>
      <c r="E48" s="60"/>
      <c r="F48" s="60"/>
      <c r="G48" s="6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0" t="s">
        <v>72</v>
      </c>
      <c r="B49" s="22" t="s">
        <v>73</v>
      </c>
      <c r="C49" s="22" t="s">
        <v>74</v>
      </c>
      <c r="D49" s="21" t="s">
        <v>75</v>
      </c>
      <c r="E49" s="21" t="s">
        <v>9</v>
      </c>
      <c r="F49" s="21" t="s">
        <v>40</v>
      </c>
      <c r="G49" s="21" t="s">
        <v>41</v>
      </c>
      <c r="H49" s="1" t="s">
        <v>76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1"/>
      <c r="B50" s="62" t="s">
        <v>77</v>
      </c>
      <c r="C50" s="54" t="s">
        <v>78</v>
      </c>
      <c r="D50" s="23" t="s">
        <v>156</v>
      </c>
      <c r="E50" s="55" t="s">
        <v>80</v>
      </c>
      <c r="F50" s="26">
        <v>3.0</v>
      </c>
      <c r="G50" s="55" t="s">
        <v>81</v>
      </c>
      <c r="H50" s="56" t="s">
        <v>46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62" t="s">
        <v>82</v>
      </c>
      <c r="C51" s="54" t="s">
        <v>78</v>
      </c>
      <c r="D51" s="27" t="s">
        <v>157</v>
      </c>
      <c r="E51" s="57" t="s">
        <v>84</v>
      </c>
      <c r="F51" s="30">
        <v>3.0</v>
      </c>
      <c r="G51" s="57" t="s">
        <v>80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62" t="s">
        <v>85</v>
      </c>
      <c r="C52" s="54" t="s">
        <v>78</v>
      </c>
      <c r="D52" s="27" t="s">
        <v>158</v>
      </c>
      <c r="E52" s="57">
        <v>1.0</v>
      </c>
      <c r="F52" s="30">
        <v>3.0</v>
      </c>
      <c r="G52" s="57">
        <v>3.0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62" t="s">
        <v>87</v>
      </c>
      <c r="C53" s="54" t="s">
        <v>78</v>
      </c>
      <c r="D53" s="27" t="s">
        <v>159</v>
      </c>
      <c r="E53" s="57" t="s">
        <v>84</v>
      </c>
      <c r="F53" s="30">
        <v>2.0</v>
      </c>
      <c r="G53" s="57">
        <v>1.0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62" t="s">
        <v>89</v>
      </c>
      <c r="C54" s="54" t="s">
        <v>90</v>
      </c>
      <c r="D54" s="27" t="s">
        <v>160</v>
      </c>
      <c r="E54" s="57">
        <v>1.0</v>
      </c>
      <c r="F54" s="30">
        <v>3.0</v>
      </c>
      <c r="G54" s="57">
        <v>3.0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2" t="s">
        <v>92</v>
      </c>
      <c r="C55" s="54" t="s">
        <v>93</v>
      </c>
      <c r="D55" s="27" t="s">
        <v>161</v>
      </c>
      <c r="E55" s="57">
        <v>2.0</v>
      </c>
      <c r="F55" s="30">
        <v>4.0</v>
      </c>
      <c r="G55" s="57">
        <v>8.0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2" t="s">
        <v>95</v>
      </c>
      <c r="C56" s="54" t="s">
        <v>96</v>
      </c>
      <c r="D56" s="27" t="s">
        <v>97</v>
      </c>
      <c r="E56" s="57">
        <v>-1.0</v>
      </c>
      <c r="F56" s="30">
        <v>2.0</v>
      </c>
      <c r="G56" s="57">
        <v>-2.0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2" t="s">
        <v>98</v>
      </c>
      <c r="C57" s="54" t="s">
        <v>99</v>
      </c>
      <c r="D57" s="27" t="s">
        <v>162</v>
      </c>
      <c r="E57" s="57">
        <v>-1.0</v>
      </c>
      <c r="F57" s="30">
        <v>4.0</v>
      </c>
      <c r="G57" s="57">
        <v>-4.0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32" t="s">
        <v>101</v>
      </c>
      <c r="C58" s="6"/>
      <c r="D58" s="6"/>
      <c r="E58" s="6"/>
      <c r="F58" s="7"/>
      <c r="G58" s="21">
        <f>SUM(G50:G57)</f>
        <v>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32" t="s">
        <v>163</v>
      </c>
      <c r="C59" s="6"/>
      <c r="D59" s="6"/>
      <c r="E59" s="6"/>
      <c r="F59" s="7"/>
      <c r="G59" s="21">
        <f>1.4 + (-0.03*G58)</f>
        <v>1.13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32"/>
      <c r="C60" s="63"/>
      <c r="D60" s="64"/>
      <c r="E60" s="63"/>
      <c r="F60" s="65" t="s">
        <v>103</v>
      </c>
      <c r="G60" s="21">
        <f>COUNTIF($F$50:$F$55,"&lt;3")+COUNTIF($F$56:$F$57,"&gt;3")</f>
        <v>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4"/>
      <c r="C61" s="3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2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20" t="s">
        <v>104</v>
      </c>
      <c r="B63" s="66" t="s">
        <v>164</v>
      </c>
      <c r="C63" s="6"/>
      <c r="D63" s="6"/>
      <c r="E63" s="6"/>
      <c r="F63" s="7"/>
      <c r="G63" s="67">
        <f>F28*G46*G59</f>
        <v>73.3257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68" t="s">
        <v>106</v>
      </c>
      <c r="B66" s="22" t="s">
        <v>107</v>
      </c>
      <c r="C66" s="22" t="s">
        <v>108</v>
      </c>
      <c r="D66" s="22" t="s">
        <v>109</v>
      </c>
      <c r="E66" s="3"/>
      <c r="F66" s="1"/>
      <c r="G66" s="22" t="s">
        <v>110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69">
        <v>20.0</v>
      </c>
      <c r="C67" s="69">
        <f>IF($G$60&gt;=5,36,IF(AND(G$60&gt;2,$G$60&lt;=4),28, IF(AND($G$60&gt;=0,$G$60&lt;=2),20,"error")))</f>
        <v>20</v>
      </c>
      <c r="D67" s="70">
        <f>IF($G$60&gt;=5,$G$67*(36/20),IF(AND($G$60&gt;2,$G$60&lt;=4),$G$67*(28/20), IF(AND($G$60&gt;=0,$G$60&lt;=2),$G$67,"error")))</f>
        <v>2</v>
      </c>
      <c r="E67" s="3"/>
      <c r="F67" s="1"/>
      <c r="G67" s="71">
        <v>2.0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72" t="s">
        <v>111</v>
      </c>
      <c r="C68" s="6"/>
      <c r="D68" s="7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73" t="s">
        <v>112</v>
      </c>
      <c r="B69" s="69">
        <f t="shared" ref="B69:D69" si="1">$G$63*B67</f>
        <v>1466.514</v>
      </c>
      <c r="C69" s="69">
        <f t="shared" si="1"/>
        <v>1466.514</v>
      </c>
      <c r="D69" s="69">
        <f t="shared" si="1"/>
        <v>146.6514</v>
      </c>
      <c r="E69" s="3"/>
      <c r="F69" s="1"/>
      <c r="G69" s="22" t="s">
        <v>113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3" t="s">
        <v>114</v>
      </c>
      <c r="B70" s="74">
        <f>B69/(22*G70)</f>
        <v>33.32986364</v>
      </c>
      <c r="C70" s="74">
        <f>C69/(22*G70)</f>
        <v>33.32986364</v>
      </c>
      <c r="D70" s="75">
        <f>D69/(22*G70)</f>
        <v>3.332986364</v>
      </c>
      <c r="E70" s="3"/>
      <c r="F70" s="1"/>
      <c r="G70" s="76">
        <v>2.0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20" t="s">
        <v>115</v>
      </c>
      <c r="B73" s="77" t="s">
        <v>116</v>
      </c>
      <c r="C73" s="78"/>
      <c r="D73" s="64"/>
      <c r="E73" s="63"/>
      <c r="F73" s="7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53" t="s">
        <v>117</v>
      </c>
      <c r="C74" s="21" t="s">
        <v>118</v>
      </c>
      <c r="D74" s="67" t="s">
        <v>119</v>
      </c>
      <c r="E74" s="67" t="s">
        <v>120</v>
      </c>
      <c r="F74" s="67" t="s">
        <v>121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80" t="s">
        <v>122</v>
      </c>
      <c r="C75" s="81">
        <v>0.4</v>
      </c>
      <c r="D75" s="74">
        <f t="shared" ref="D75:F75" si="2">+B69</f>
        <v>1466.514</v>
      </c>
      <c r="E75" s="74">
        <f t="shared" si="2"/>
        <v>1466.514</v>
      </c>
      <c r="F75" s="74">
        <f t="shared" si="2"/>
        <v>146.6514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80" t="s">
        <v>123</v>
      </c>
      <c r="C76" s="81">
        <f>1-C75</f>
        <v>0.6</v>
      </c>
      <c r="D76" s="69">
        <f t="shared" ref="D76:F76" si="3">+D75*1.5</f>
        <v>2199.771</v>
      </c>
      <c r="E76" s="69">
        <f t="shared" si="3"/>
        <v>2199.771</v>
      </c>
      <c r="F76" s="69">
        <f t="shared" si="3"/>
        <v>219.9771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82"/>
      <c r="C77" s="81">
        <f>SUM(C75:C76)</f>
        <v>1</v>
      </c>
      <c r="D77" s="74">
        <f t="shared" ref="D77:F77" si="4">+D75+D76</f>
        <v>3666.285</v>
      </c>
      <c r="E77" s="74">
        <f t="shared" si="4"/>
        <v>3666.285</v>
      </c>
      <c r="F77" s="74">
        <f t="shared" si="4"/>
        <v>366.6285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20" t="s">
        <v>124</v>
      </c>
      <c r="B79" s="77" t="s">
        <v>125</v>
      </c>
      <c r="C79" s="78"/>
      <c r="D79" s="64"/>
      <c r="E79" s="63"/>
      <c r="F79" s="7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53" t="s">
        <v>117</v>
      </c>
      <c r="C80" s="21" t="s">
        <v>118</v>
      </c>
      <c r="D80" s="67" t="s">
        <v>126</v>
      </c>
      <c r="E80" s="67" t="s">
        <v>127</v>
      </c>
      <c r="F80" s="67" t="s">
        <v>128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80" t="s">
        <v>122</v>
      </c>
      <c r="C81" s="81">
        <v>0.4</v>
      </c>
      <c r="D81" s="74">
        <f t="shared" ref="D81:F81" si="5">$C81/$C$81*B$70</f>
        <v>33.32986364</v>
      </c>
      <c r="E81" s="74">
        <f t="shared" si="5"/>
        <v>33.32986364</v>
      </c>
      <c r="F81" s="74">
        <f t="shared" si="5"/>
        <v>3.332986364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80" t="s">
        <v>123</v>
      </c>
      <c r="C82" s="81">
        <f>1-C81</f>
        <v>0.6</v>
      </c>
      <c r="D82" s="69">
        <f t="shared" ref="D82:F82" si="6">$C82/$C$81*B$70</f>
        <v>49.99479545</v>
      </c>
      <c r="E82" s="69">
        <f t="shared" si="6"/>
        <v>49.99479545</v>
      </c>
      <c r="F82" s="69">
        <f t="shared" si="6"/>
        <v>4.999479545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82"/>
      <c r="C83" s="81">
        <f>SUM(C81:C82)</f>
        <v>1</v>
      </c>
      <c r="D83" s="74">
        <f t="shared" ref="D83:F83" si="7">$C83/$C$81*B$70</f>
        <v>83.32465909</v>
      </c>
      <c r="E83" s="74">
        <f t="shared" si="7"/>
        <v>83.32465909</v>
      </c>
      <c r="F83" s="74">
        <f t="shared" si="7"/>
        <v>8.332465909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20" t="s">
        <v>129</v>
      </c>
      <c r="B85" s="83">
        <v>5.0</v>
      </c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2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20" t="s">
        <v>130</v>
      </c>
      <c r="B87" s="67" t="s">
        <v>131</v>
      </c>
      <c r="C87" s="67" t="s">
        <v>132</v>
      </c>
      <c r="D87" s="67" t="s">
        <v>133</v>
      </c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84"/>
      <c r="B88" s="85">
        <f>$D$83/$B$85</f>
        <v>16.66493182</v>
      </c>
      <c r="C88" s="85">
        <f>$E$83/$B$85</f>
        <v>16.66493182</v>
      </c>
      <c r="D88" s="85">
        <f>$F$83/$B$85</f>
        <v>1.666493182</v>
      </c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ht="15.75" customHeight="1">
      <c r="A89" s="84"/>
      <c r="B89" s="84"/>
      <c r="C89" s="84"/>
      <c r="D89" s="84"/>
      <c r="E89" s="86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15.75" customHeight="1">
      <c r="A90" s="84"/>
      <c r="B90" s="84"/>
      <c r="C90" s="84"/>
      <c r="D90" s="84"/>
      <c r="E90" s="86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15.75" customHeight="1">
      <c r="A91" s="84"/>
      <c r="B91" s="84"/>
      <c r="C91" s="84"/>
      <c r="D91" s="84"/>
      <c r="E91" s="86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15.75" customHeight="1">
      <c r="A92" s="84"/>
      <c r="B92" s="84"/>
      <c r="C92" s="84"/>
      <c r="D92" s="84"/>
      <c r="E92" s="86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84"/>
      <c r="B93" s="84"/>
      <c r="C93" s="84"/>
      <c r="D93" s="84"/>
      <c r="E93" s="86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84"/>
      <c r="B94" s="84"/>
      <c r="C94" s="84"/>
      <c r="D94" s="84"/>
      <c r="E94" s="86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84"/>
      <c r="B95" s="84"/>
      <c r="C95" s="84"/>
      <c r="D95" s="84"/>
      <c r="E95" s="86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84"/>
      <c r="B96" s="84"/>
      <c r="C96" s="84"/>
      <c r="D96" s="84"/>
      <c r="E96" s="86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84"/>
      <c r="B97" s="84"/>
      <c r="C97" s="84"/>
      <c r="D97" s="84"/>
      <c r="E97" s="86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84"/>
      <c r="B98" s="84"/>
      <c r="C98" s="84"/>
      <c r="D98" s="84"/>
      <c r="E98" s="86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84"/>
      <c r="B99" s="84"/>
      <c r="C99" s="84"/>
      <c r="D99" s="84"/>
      <c r="E99" s="86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84"/>
      <c r="B100" s="84"/>
      <c r="C100" s="84"/>
      <c r="D100" s="84"/>
      <c r="E100" s="86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84"/>
      <c r="B101" s="84"/>
      <c r="C101" s="84"/>
      <c r="D101" s="84"/>
      <c r="E101" s="86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84"/>
      <c r="B102" s="84"/>
      <c r="C102" s="84"/>
      <c r="D102" s="84"/>
      <c r="E102" s="86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84"/>
      <c r="B103" s="84"/>
      <c r="C103" s="84"/>
      <c r="D103" s="84"/>
      <c r="E103" s="86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84"/>
      <c r="B104" s="84"/>
      <c r="C104" s="84"/>
      <c r="D104" s="84"/>
      <c r="E104" s="86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B59:F59"/>
    <mergeCell ref="B63:F63"/>
    <mergeCell ref="B68:D68"/>
    <mergeCell ref="B2:G2"/>
    <mergeCell ref="C11:F11"/>
    <mergeCell ref="C25:E25"/>
    <mergeCell ref="C28:E28"/>
    <mergeCell ref="B45:F45"/>
    <mergeCell ref="B46:F46"/>
    <mergeCell ref="B58:F58"/>
  </mergeCells>
  <dataValidations>
    <dataValidation type="decimal" allowBlank="1" showInputMessage="1" showErrorMessage="1" prompt="Entre 1 y 9 personas." sqref="B85">
      <formula1>1.0</formula1>
      <formula2>9.0</formula2>
    </dataValidation>
  </dataValidations>
  <hyperlinks>
    <hyperlink r:id="rId2" location="v=onepage&amp;q=e7%20part-time%20members&amp;f=false" ref="H32"/>
    <hyperlink r:id="rId3" location="v=onepage&amp;q=e7%20part-time%20members&amp;f=false" ref="H50"/>
  </hyperlinks>
  <printOptions/>
  <pageMargins bottom="1.0" footer="0.0" header="0.0" left="0.75" right="0.75" top="1.0"/>
  <pageSetup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106" t="s">
        <v>1</v>
      </c>
      <c r="C3" s="4" t="s">
        <v>165</v>
      </c>
      <c r="D3" s="13"/>
      <c r="E3" s="13"/>
      <c r="F3" s="13"/>
      <c r="G3" s="107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08" t="s">
        <v>3</v>
      </c>
      <c r="C4" s="109" t="s">
        <v>166</v>
      </c>
      <c r="D4" s="110"/>
      <c r="E4" s="110"/>
      <c r="F4" s="110"/>
      <c r="G4" s="111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/>
      <c r="C16" s="40"/>
      <c r="D16" s="41"/>
      <c r="E16" s="42"/>
      <c r="F16" s="42"/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43" t="s">
        <v>25</v>
      </c>
      <c r="C17" s="44"/>
      <c r="D17" s="45">
        <v>6.0</v>
      </c>
      <c r="E17" s="46" t="s">
        <v>26</v>
      </c>
      <c r="F17" s="46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43" t="s">
        <v>27</v>
      </c>
      <c r="C18" s="44"/>
      <c r="D18" s="45">
        <v>8.0</v>
      </c>
      <c r="E18" s="46" t="s">
        <v>13</v>
      </c>
      <c r="F18" s="46">
        <v>15.0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43"/>
      <c r="C19" s="44"/>
      <c r="D19" s="45"/>
      <c r="E19" s="46"/>
      <c r="F19" s="46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43"/>
      <c r="C20" s="44"/>
      <c r="D20" s="45"/>
      <c r="E20" s="46"/>
      <c r="F20" s="46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43" t="s">
        <v>139</v>
      </c>
      <c r="C21" s="44"/>
      <c r="D21" s="45">
        <v>4.0</v>
      </c>
      <c r="E21" s="46" t="s">
        <v>26</v>
      </c>
      <c r="F21" s="46">
        <v>10.0</v>
      </c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43" t="s">
        <v>28</v>
      </c>
      <c r="C22" s="44"/>
      <c r="D22" s="45">
        <v>3.0</v>
      </c>
      <c r="E22" s="46" t="s">
        <v>29</v>
      </c>
      <c r="F22" s="46">
        <v>5.0</v>
      </c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43" t="s">
        <v>30</v>
      </c>
      <c r="C23" s="44"/>
      <c r="D23" s="45">
        <v>3.0</v>
      </c>
      <c r="E23" s="46" t="s">
        <v>29</v>
      </c>
      <c r="F23" s="46">
        <v>5.0</v>
      </c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43" t="s">
        <v>31</v>
      </c>
      <c r="C24" s="44"/>
      <c r="D24" s="45">
        <v>4.0</v>
      </c>
      <c r="E24" s="46" t="s">
        <v>26</v>
      </c>
      <c r="F24" s="46">
        <v>10.0</v>
      </c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3" t="s">
        <v>32</v>
      </c>
      <c r="C25" s="44"/>
      <c r="D25" s="45">
        <v>3.0</v>
      </c>
      <c r="E25" s="46" t="s">
        <v>29</v>
      </c>
      <c r="F25" s="46">
        <v>5.0</v>
      </c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48"/>
      <c r="C26" s="49" t="s">
        <v>33</v>
      </c>
      <c r="D26" s="50"/>
      <c r="E26" s="51"/>
      <c r="F26" s="52">
        <f>SUM(F16:F25)</f>
        <v>60</v>
      </c>
      <c r="G26" s="1"/>
      <c r="H26" s="20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2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20" t="s">
        <v>34</v>
      </c>
      <c r="B29" s="53"/>
      <c r="C29" s="32" t="s">
        <v>167</v>
      </c>
      <c r="D29" s="6"/>
      <c r="E29" s="7"/>
      <c r="F29" s="33">
        <f>G12+F26</f>
        <v>63</v>
      </c>
      <c r="G29" s="1"/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3"/>
      <c r="C31" s="1"/>
      <c r="D31" s="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20" t="s">
        <v>36</v>
      </c>
      <c r="B32" s="22" t="s">
        <v>37</v>
      </c>
      <c r="C32" s="22" t="s">
        <v>38</v>
      </c>
      <c r="D32" s="21" t="s">
        <v>39</v>
      </c>
      <c r="E32" s="21" t="s">
        <v>9</v>
      </c>
      <c r="F32" s="21" t="s">
        <v>40</v>
      </c>
      <c r="G32" s="21" t="s">
        <v>41</v>
      </c>
      <c r="H32" s="1" t="s">
        <v>42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75" customHeight="1">
      <c r="A33" s="1"/>
      <c r="B33" s="54" t="s">
        <v>43</v>
      </c>
      <c r="C33" s="54" t="s">
        <v>44</v>
      </c>
      <c r="D33" s="23" t="s">
        <v>45</v>
      </c>
      <c r="E33" s="55">
        <v>2.0</v>
      </c>
      <c r="F33" s="26">
        <v>0.0</v>
      </c>
      <c r="G33" s="55">
        <v>0.0</v>
      </c>
      <c r="H33" s="56" t="s">
        <v>46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4" t="s">
        <v>47</v>
      </c>
      <c r="C34" s="54" t="s">
        <v>44</v>
      </c>
      <c r="D34" s="27" t="s">
        <v>48</v>
      </c>
      <c r="E34" s="57">
        <v>2.0</v>
      </c>
      <c r="F34" s="30">
        <v>5.0</v>
      </c>
      <c r="G34" s="57">
        <v>10.0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54" t="s">
        <v>49</v>
      </c>
      <c r="C35" s="54" t="s">
        <v>44</v>
      </c>
      <c r="D35" s="58"/>
      <c r="E35" s="57">
        <v>1.0</v>
      </c>
      <c r="F35" s="30">
        <v>4.0</v>
      </c>
      <c r="G35" s="57">
        <v>4.0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4" t="s">
        <v>50</v>
      </c>
      <c r="C36" s="54" t="s">
        <v>44</v>
      </c>
      <c r="D36" s="27" t="s">
        <v>51</v>
      </c>
      <c r="E36" s="57">
        <v>1.0</v>
      </c>
      <c r="F36" s="30">
        <v>4.0</v>
      </c>
      <c r="G36" s="57">
        <v>4.0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4" t="s">
        <v>52</v>
      </c>
      <c r="C37" s="54" t="s">
        <v>44</v>
      </c>
      <c r="D37" s="27" t="s">
        <v>53</v>
      </c>
      <c r="E37" s="57">
        <v>1.0</v>
      </c>
      <c r="F37" s="30">
        <v>0.0</v>
      </c>
      <c r="G37" s="57">
        <v>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4" t="s">
        <v>54</v>
      </c>
      <c r="C38" s="54" t="s">
        <v>44</v>
      </c>
      <c r="D38" s="27" t="s">
        <v>55</v>
      </c>
      <c r="E38" s="57">
        <v>0.5</v>
      </c>
      <c r="F38" s="30">
        <v>5.0</v>
      </c>
      <c r="G38" s="57">
        <v>2.5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4" t="s">
        <v>56</v>
      </c>
      <c r="C39" s="54" t="s">
        <v>44</v>
      </c>
      <c r="D39" s="27" t="s">
        <v>57</v>
      </c>
      <c r="E39" s="57">
        <v>0.5</v>
      </c>
      <c r="F39" s="30">
        <v>5.0</v>
      </c>
      <c r="G39" s="57">
        <v>2.5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4" t="s">
        <v>58</v>
      </c>
      <c r="C40" s="54" t="s">
        <v>44</v>
      </c>
      <c r="D40" s="27" t="s">
        <v>59</v>
      </c>
      <c r="E40" s="57">
        <v>2.0</v>
      </c>
      <c r="F40" s="30">
        <v>3.0</v>
      </c>
      <c r="G40" s="57">
        <v>6.0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4" t="s">
        <v>60</v>
      </c>
      <c r="C41" s="54" t="s">
        <v>44</v>
      </c>
      <c r="D41" s="27" t="s">
        <v>61</v>
      </c>
      <c r="E41" s="57">
        <v>1.0</v>
      </c>
      <c r="F41" s="30">
        <v>1.0</v>
      </c>
      <c r="G41" s="57">
        <v>1.0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4" t="s">
        <v>62</v>
      </c>
      <c r="C42" s="54" t="s">
        <v>44</v>
      </c>
      <c r="D42" s="27" t="s">
        <v>63</v>
      </c>
      <c r="E42" s="57">
        <v>1.0</v>
      </c>
      <c r="F42" s="30">
        <v>5.0</v>
      </c>
      <c r="G42" s="57">
        <v>5.0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4" t="s">
        <v>64</v>
      </c>
      <c r="C43" s="54" t="s">
        <v>44</v>
      </c>
      <c r="D43" s="27" t="s">
        <v>65</v>
      </c>
      <c r="E43" s="57">
        <v>1.0</v>
      </c>
      <c r="F43" s="30">
        <v>5.0</v>
      </c>
      <c r="G43" s="57">
        <v>5.0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4" t="s">
        <v>66</v>
      </c>
      <c r="C44" s="54" t="s">
        <v>44</v>
      </c>
      <c r="D44" s="27" t="s">
        <v>67</v>
      </c>
      <c r="E44" s="57">
        <v>1.0</v>
      </c>
      <c r="F44" s="30">
        <v>4.0</v>
      </c>
      <c r="G44" s="57">
        <v>4.0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4" t="s">
        <v>68</v>
      </c>
      <c r="C45" s="54" t="s">
        <v>44</v>
      </c>
      <c r="D45" s="27" t="s">
        <v>69</v>
      </c>
      <c r="E45" s="57">
        <v>1.0</v>
      </c>
      <c r="F45" s="30">
        <v>3.0</v>
      </c>
      <c r="G45" s="57">
        <v>3.0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32" t="s">
        <v>168</v>
      </c>
      <c r="C46" s="6"/>
      <c r="D46" s="6"/>
      <c r="E46" s="6"/>
      <c r="F46" s="7"/>
      <c r="G46" s="59">
        <f>SUM(G33:G45)</f>
        <v>47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32" t="s">
        <v>169</v>
      </c>
      <c r="C47" s="6"/>
      <c r="D47" s="6"/>
      <c r="E47" s="6"/>
      <c r="F47" s="7"/>
      <c r="G47" s="52">
        <f>0.6+(0.01*G46)</f>
        <v>1.07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34"/>
      <c r="C48" s="3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60"/>
      <c r="C49" s="60"/>
      <c r="D49" s="61"/>
      <c r="E49" s="60"/>
      <c r="F49" s="60"/>
      <c r="G49" s="6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0" t="s">
        <v>72</v>
      </c>
      <c r="B50" s="22" t="s">
        <v>73</v>
      </c>
      <c r="C50" s="22" t="s">
        <v>74</v>
      </c>
      <c r="D50" s="21" t="s">
        <v>75</v>
      </c>
      <c r="E50" s="21" t="s">
        <v>9</v>
      </c>
      <c r="F50" s="21" t="s">
        <v>40</v>
      </c>
      <c r="G50" s="21" t="s">
        <v>41</v>
      </c>
      <c r="H50" s="1" t="s">
        <v>76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1"/>
      <c r="B51" s="62" t="s">
        <v>77</v>
      </c>
      <c r="C51" s="54" t="s">
        <v>78</v>
      </c>
      <c r="D51" s="23" t="s">
        <v>170</v>
      </c>
      <c r="E51" s="55" t="s">
        <v>80</v>
      </c>
      <c r="F51" s="26">
        <v>2.0</v>
      </c>
      <c r="G51" s="55">
        <v>3.0</v>
      </c>
      <c r="H51" s="56" t="s">
        <v>46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62" t="s">
        <v>82</v>
      </c>
      <c r="C52" s="54" t="s">
        <v>78</v>
      </c>
      <c r="D52" s="27" t="s">
        <v>170</v>
      </c>
      <c r="E52" s="57" t="s">
        <v>84</v>
      </c>
      <c r="F52" s="30">
        <v>2.0</v>
      </c>
      <c r="G52" s="57">
        <v>1.0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62" t="s">
        <v>85</v>
      </c>
      <c r="C53" s="54" t="s">
        <v>78</v>
      </c>
      <c r="D53" s="27" t="s">
        <v>170</v>
      </c>
      <c r="E53" s="57">
        <v>1.0</v>
      </c>
      <c r="F53" s="30">
        <v>2.0</v>
      </c>
      <c r="G53" s="57">
        <v>2.0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62" t="s">
        <v>87</v>
      </c>
      <c r="C54" s="54" t="s">
        <v>78</v>
      </c>
      <c r="D54" s="27" t="s">
        <v>171</v>
      </c>
      <c r="E54" s="57" t="s">
        <v>84</v>
      </c>
      <c r="F54" s="30">
        <v>3.0</v>
      </c>
      <c r="G54" s="57" t="s">
        <v>80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62" t="s">
        <v>89</v>
      </c>
      <c r="C55" s="54" t="s">
        <v>90</v>
      </c>
      <c r="D55" s="27" t="s">
        <v>172</v>
      </c>
      <c r="E55" s="57">
        <v>1.0</v>
      </c>
      <c r="F55" s="30">
        <v>0.0</v>
      </c>
      <c r="G55" s="57">
        <v>0.0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2" t="s">
        <v>92</v>
      </c>
      <c r="C56" s="54" t="s">
        <v>93</v>
      </c>
      <c r="D56" s="27" t="s">
        <v>173</v>
      </c>
      <c r="E56" s="57">
        <v>2.0</v>
      </c>
      <c r="F56" s="30">
        <v>3.0</v>
      </c>
      <c r="G56" s="57">
        <v>6.0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2" t="s">
        <v>95</v>
      </c>
      <c r="C57" s="54" t="s">
        <v>96</v>
      </c>
      <c r="D57" s="27" t="s">
        <v>174</v>
      </c>
      <c r="E57" s="57">
        <v>-1.0</v>
      </c>
      <c r="F57" s="30">
        <v>3.0</v>
      </c>
      <c r="G57" s="57">
        <v>-3.0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62" t="s">
        <v>98</v>
      </c>
      <c r="C58" s="54" t="s">
        <v>99</v>
      </c>
      <c r="D58" s="27" t="s">
        <v>175</v>
      </c>
      <c r="E58" s="57">
        <v>-1.0</v>
      </c>
      <c r="F58" s="30">
        <v>5.0</v>
      </c>
      <c r="G58" s="57">
        <v>-5.0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32" t="s">
        <v>101</v>
      </c>
      <c r="C59" s="6"/>
      <c r="D59" s="6"/>
      <c r="E59" s="6"/>
      <c r="F59" s="7"/>
      <c r="G59" s="21">
        <f>SUM(G51:G58)</f>
        <v>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32" t="s">
        <v>176</v>
      </c>
      <c r="C60" s="6"/>
      <c r="D60" s="6"/>
      <c r="E60" s="6"/>
      <c r="F60" s="7"/>
      <c r="G60" s="21">
        <f>1.4 + (-0.03*G59)</f>
        <v>1.28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2"/>
      <c r="C61" s="63"/>
      <c r="D61" s="64"/>
      <c r="E61" s="63"/>
      <c r="F61" s="65" t="s">
        <v>103</v>
      </c>
      <c r="G61" s="21">
        <f>COUNTIF($F$51:$F$56,"&lt;3")+COUNTIF($F$57:$F$58,"&gt;3")</f>
        <v>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4"/>
      <c r="C62" s="3"/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20" t="s">
        <v>104</v>
      </c>
      <c r="B64" s="66" t="s">
        <v>177</v>
      </c>
      <c r="C64" s="6"/>
      <c r="D64" s="6"/>
      <c r="E64" s="6"/>
      <c r="F64" s="7"/>
      <c r="G64" s="67">
        <f>F29*G47*G60</f>
        <v>86.2848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68" t="s">
        <v>106</v>
      </c>
      <c r="B67" s="22" t="s">
        <v>107</v>
      </c>
      <c r="C67" s="22" t="s">
        <v>108</v>
      </c>
      <c r="D67" s="22" t="s">
        <v>109</v>
      </c>
      <c r="E67" s="3"/>
      <c r="F67" s="1"/>
      <c r="G67" s="22" t="s">
        <v>110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69">
        <v>20.0</v>
      </c>
      <c r="C68" s="69">
        <f>IF($G$61&gt;=5,36,IF(AND(G$61&gt;2,$G$61&lt;=4),28, IF(AND($G$61&gt;=0,$G$61&lt;=2),20,"error")))</f>
        <v>36</v>
      </c>
      <c r="D68" s="70">
        <f>IF($G$61&gt;=5,$G$68*(36/20),IF(AND($G$61&gt;2,$G$61&lt;=4),$G$68*(28/20), IF(AND($G$61&gt;=0,$G$61&lt;=2),$G$68,"error")))</f>
        <v>3.6</v>
      </c>
      <c r="E68" s="3"/>
      <c r="F68" s="1"/>
      <c r="G68" s="71">
        <v>2.0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72" t="s">
        <v>111</v>
      </c>
      <c r="C69" s="6"/>
      <c r="D69" s="7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73" t="s">
        <v>112</v>
      </c>
      <c r="B70" s="69">
        <f t="shared" ref="B70:D70" si="1">$G$64*B68</f>
        <v>1725.696</v>
      </c>
      <c r="C70" s="69">
        <f t="shared" si="1"/>
        <v>3106.2528</v>
      </c>
      <c r="D70" s="69">
        <f t="shared" si="1"/>
        <v>310.62528</v>
      </c>
      <c r="E70" s="3"/>
      <c r="F70" s="1"/>
      <c r="G70" s="22" t="s">
        <v>113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73" t="s">
        <v>114</v>
      </c>
      <c r="B71" s="74">
        <f>B70/(22*G71)</f>
        <v>39.22036364</v>
      </c>
      <c r="C71" s="74">
        <f>C70/(22*G71)</f>
        <v>70.59665455</v>
      </c>
      <c r="D71" s="75">
        <f>D70/(22*G71)</f>
        <v>7.059665455</v>
      </c>
      <c r="E71" s="3"/>
      <c r="F71" s="1"/>
      <c r="G71" s="76">
        <v>2.0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20" t="s">
        <v>115</v>
      </c>
      <c r="B74" s="77" t="s">
        <v>116</v>
      </c>
      <c r="C74" s="78"/>
      <c r="D74" s="64"/>
      <c r="E74" s="63"/>
      <c r="F74" s="7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53" t="s">
        <v>117</v>
      </c>
      <c r="C75" s="21" t="s">
        <v>118</v>
      </c>
      <c r="D75" s="67" t="s">
        <v>119</v>
      </c>
      <c r="E75" s="67" t="s">
        <v>120</v>
      </c>
      <c r="F75" s="67" t="s">
        <v>121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80" t="s">
        <v>122</v>
      </c>
      <c r="C76" s="81">
        <v>0.4</v>
      </c>
      <c r="D76" s="74">
        <f t="shared" ref="D76:F76" si="2">+B70</f>
        <v>1725.696</v>
      </c>
      <c r="E76" s="74">
        <f t="shared" si="2"/>
        <v>3106.2528</v>
      </c>
      <c r="F76" s="74">
        <f t="shared" si="2"/>
        <v>310.62528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80" t="s">
        <v>123</v>
      </c>
      <c r="C77" s="81">
        <f>1-C76</f>
        <v>0.6</v>
      </c>
      <c r="D77" s="69">
        <f t="shared" ref="D77:F77" si="3">+D76*1.5</f>
        <v>2588.544</v>
      </c>
      <c r="E77" s="69">
        <f t="shared" si="3"/>
        <v>4659.3792</v>
      </c>
      <c r="F77" s="69">
        <f t="shared" si="3"/>
        <v>465.93792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82"/>
      <c r="C78" s="81">
        <f>SUM(C76:C77)</f>
        <v>1</v>
      </c>
      <c r="D78" s="74">
        <f t="shared" ref="D78:F78" si="4">+D76+D77</f>
        <v>4314.24</v>
      </c>
      <c r="E78" s="74">
        <f t="shared" si="4"/>
        <v>7765.632</v>
      </c>
      <c r="F78" s="74">
        <f t="shared" si="4"/>
        <v>776.5632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20" t="s">
        <v>124</v>
      </c>
      <c r="B80" s="77" t="s">
        <v>125</v>
      </c>
      <c r="C80" s="78"/>
      <c r="D80" s="64"/>
      <c r="E80" s="63"/>
      <c r="F80" s="7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53" t="s">
        <v>117</v>
      </c>
      <c r="C81" s="21" t="s">
        <v>118</v>
      </c>
      <c r="D81" s="67" t="s">
        <v>126</v>
      </c>
      <c r="E81" s="67" t="s">
        <v>127</v>
      </c>
      <c r="F81" s="67" t="s">
        <v>128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80" t="s">
        <v>122</v>
      </c>
      <c r="C82" s="81">
        <v>0.4</v>
      </c>
      <c r="D82" s="74">
        <f t="shared" ref="D82:F82" si="5">$C82/$C$82*B$71</f>
        <v>39.22036364</v>
      </c>
      <c r="E82" s="74">
        <f t="shared" si="5"/>
        <v>70.59665455</v>
      </c>
      <c r="F82" s="74">
        <f t="shared" si="5"/>
        <v>7.059665455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80" t="s">
        <v>123</v>
      </c>
      <c r="C83" s="81">
        <f>1-C82</f>
        <v>0.6</v>
      </c>
      <c r="D83" s="69">
        <f t="shared" ref="D83:F83" si="6">$C83/$C$82*B$71</f>
        <v>58.83054545</v>
      </c>
      <c r="E83" s="69">
        <f t="shared" si="6"/>
        <v>105.8949818</v>
      </c>
      <c r="F83" s="69">
        <f t="shared" si="6"/>
        <v>10.58949818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82"/>
      <c r="C84" s="81">
        <f>SUM(C82:C83)</f>
        <v>1</v>
      </c>
      <c r="D84" s="74">
        <f t="shared" ref="D84:F84" si="7">$C84/$C$82*B$71</f>
        <v>98.05090909</v>
      </c>
      <c r="E84" s="74">
        <f t="shared" si="7"/>
        <v>176.4916364</v>
      </c>
      <c r="F84" s="74">
        <f t="shared" si="7"/>
        <v>17.64916364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20" t="s">
        <v>129</v>
      </c>
      <c r="B86" s="83">
        <v>5.0</v>
      </c>
      <c r="C86" s="1"/>
      <c r="D86" s="2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1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20" t="s">
        <v>130</v>
      </c>
      <c r="B88" s="67" t="s">
        <v>131</v>
      </c>
      <c r="C88" s="67" t="s">
        <v>132</v>
      </c>
      <c r="D88" s="67" t="s">
        <v>133</v>
      </c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84"/>
      <c r="B89" s="85">
        <f>$D$84/$B$86</f>
        <v>19.61018182</v>
      </c>
      <c r="C89" s="85">
        <f>$E$84/$B$86</f>
        <v>35.29832727</v>
      </c>
      <c r="D89" s="85">
        <f>$F$84/$B$86</f>
        <v>3.529832727</v>
      </c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15.75" customHeight="1">
      <c r="A90" s="84"/>
      <c r="B90" s="84"/>
      <c r="C90" s="84"/>
      <c r="D90" s="84"/>
      <c r="E90" s="86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15.75" customHeight="1">
      <c r="A91" s="84"/>
      <c r="B91" s="84"/>
      <c r="C91" s="84"/>
      <c r="D91" s="84"/>
      <c r="E91" s="86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15.75" customHeight="1">
      <c r="A92" s="84"/>
      <c r="B92" s="84"/>
      <c r="C92" s="84"/>
      <c r="D92" s="84"/>
      <c r="E92" s="86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84"/>
      <c r="B93" s="84"/>
      <c r="C93" s="84"/>
      <c r="D93" s="84"/>
      <c r="E93" s="86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84"/>
      <c r="B94" s="84"/>
      <c r="C94" s="84"/>
      <c r="D94" s="84"/>
      <c r="E94" s="86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84"/>
      <c r="B95" s="84"/>
      <c r="C95" s="84"/>
      <c r="D95" s="84"/>
      <c r="E95" s="86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84"/>
      <c r="B96" s="84"/>
      <c r="C96" s="84"/>
      <c r="D96" s="84"/>
      <c r="E96" s="86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84"/>
      <c r="B97" s="84"/>
      <c r="C97" s="84"/>
      <c r="D97" s="84"/>
      <c r="E97" s="86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84"/>
      <c r="B98" s="84"/>
      <c r="C98" s="84"/>
      <c r="D98" s="84"/>
      <c r="E98" s="86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84"/>
      <c r="B99" s="84"/>
      <c r="C99" s="84"/>
      <c r="D99" s="84"/>
      <c r="E99" s="86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84"/>
      <c r="B100" s="84"/>
      <c r="C100" s="84"/>
      <c r="D100" s="84"/>
      <c r="E100" s="86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84"/>
      <c r="B101" s="84"/>
      <c r="C101" s="84"/>
      <c r="D101" s="84"/>
      <c r="E101" s="86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84"/>
      <c r="B102" s="84"/>
      <c r="C102" s="84"/>
      <c r="D102" s="84"/>
      <c r="E102" s="86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84"/>
      <c r="B103" s="84"/>
      <c r="C103" s="84"/>
      <c r="D103" s="84"/>
      <c r="E103" s="86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84"/>
      <c r="B104" s="84"/>
      <c r="C104" s="84"/>
      <c r="D104" s="84"/>
      <c r="E104" s="86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84"/>
      <c r="B105" s="84"/>
      <c r="C105" s="84"/>
      <c r="D105" s="84"/>
      <c r="E105" s="86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B60:F60"/>
    <mergeCell ref="B64:F64"/>
    <mergeCell ref="B69:D69"/>
    <mergeCell ref="B2:G2"/>
    <mergeCell ref="C12:F12"/>
    <mergeCell ref="C26:E26"/>
    <mergeCell ref="C29:E29"/>
    <mergeCell ref="B46:F46"/>
    <mergeCell ref="B47:F47"/>
    <mergeCell ref="B59:F59"/>
  </mergeCells>
  <dataValidations>
    <dataValidation type="decimal" allowBlank="1" showInputMessage="1" showErrorMessage="1" prompt="Entre 1 y 9 personas." sqref="B86">
      <formula1>1.0</formula1>
      <formula2>9.0</formula2>
    </dataValidation>
  </dataValidations>
  <hyperlinks>
    <hyperlink r:id="rId2" location="v=onepage&amp;q=e7%20part-time%20members&amp;f=false" ref="H33"/>
    <hyperlink r:id="rId3" location="v=onepage&amp;q=e7%20part-time%20members&amp;f=false" ref="H51"/>
  </hyperlinks>
  <printOptions/>
  <pageMargins bottom="1.0" footer="0.0" header="0.0" left="0.75" right="0.75" top="1.0"/>
  <pageSetup orientation="portrait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  <dc:creator>Valeria Centurión</dc:creator>
</cp:coreProperties>
</file>